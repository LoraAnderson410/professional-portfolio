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0f1021ea601d6bb/Documents/"/>
    </mc:Choice>
  </mc:AlternateContent>
  <xr:revisionPtr revIDLastSave="0" documentId="8_{959AE81E-DE96-4B5E-B2F0-1F46DABE8482}" xr6:coauthVersionLast="47" xr6:coauthVersionMax="47" xr10:uidLastSave="{00000000-0000-0000-0000-000000000000}"/>
  <bookViews>
    <workbookView xWindow="-120" yWindow="-120" windowWidth="29040" windowHeight="15720" tabRatio="866" firstSheet="7" activeTab="7" xr2:uid="{00000000-000D-0000-FFFF-FFFF00000000}"/>
  </bookViews>
  <sheets>
    <sheet name="START HERE" sheetId="1" r:id="rId1"/>
    <sheet name="Profile &amp; Goals" sheetId="2" r:id="rId2"/>
    <sheet name="Customize" sheetId="3" r:id="rId3"/>
    <sheet name="Daily Check-In" sheetId="4" r:id="rId4"/>
    <sheet name="Symptom Log" sheetId="5" r:id="rId5"/>
    <sheet name="Flare Log" sheetId="6" r:id="rId6"/>
    <sheet name="Treatments" sheetId="7" r:id="rId7"/>
    <sheet name="Treatment Events" sheetId="8" r:id="rId8"/>
    <sheet name="AIP &amp; Nutrition" sheetId="9" r:id="rId9"/>
    <sheet name="Lifestyle &amp; Triggers" sheetId="10" r:id="rId10"/>
    <sheet name="Labs" sheetId="11" r:id="rId11"/>
    <sheet name="Appointments" sheetId="12" r:id="rId12"/>
    <sheet name="Care Access" sheetId="13" r:id="rId13"/>
    <sheet name="Diagnostic Journey" sheetId="14" r:id="rId14"/>
    <sheet name="Dashboard" sheetId="15" r:id="rId15"/>
    <sheet name="Customize Lis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70" i="15" l="1"/>
  <c r="L370" i="15"/>
  <c r="K370" i="15"/>
  <c r="J370" i="15"/>
  <c r="M369" i="15"/>
  <c r="L369" i="15"/>
  <c r="K369" i="15"/>
  <c r="J369" i="15"/>
  <c r="M368" i="15"/>
  <c r="L368" i="15"/>
  <c r="K368" i="15"/>
  <c r="J368" i="15"/>
  <c r="M367" i="15"/>
  <c r="L367" i="15"/>
  <c r="K367" i="15"/>
  <c r="J367" i="15"/>
  <c r="M366" i="15"/>
  <c r="L366" i="15"/>
  <c r="K366" i="15"/>
  <c r="J366" i="15"/>
  <c r="M365" i="15"/>
  <c r="L365" i="15"/>
  <c r="K365" i="15"/>
  <c r="J365" i="15"/>
  <c r="M364" i="15"/>
  <c r="L364" i="15"/>
  <c r="K364" i="15"/>
  <c r="J364" i="15"/>
  <c r="M363" i="15"/>
  <c r="L363" i="15"/>
  <c r="K363" i="15"/>
  <c r="J363" i="15"/>
  <c r="M362" i="15"/>
  <c r="L362" i="15"/>
  <c r="K362" i="15"/>
  <c r="J362" i="15"/>
  <c r="M361" i="15"/>
  <c r="L361" i="15"/>
  <c r="K361" i="15"/>
  <c r="J361" i="15"/>
  <c r="M360" i="15"/>
  <c r="L360" i="15"/>
  <c r="K360" i="15"/>
  <c r="J360" i="15"/>
  <c r="M359" i="15"/>
  <c r="L359" i="15"/>
  <c r="K359" i="15"/>
  <c r="J359" i="15"/>
  <c r="M358" i="15"/>
  <c r="L358" i="15"/>
  <c r="K358" i="15"/>
  <c r="J358" i="15"/>
  <c r="M357" i="15"/>
  <c r="L357" i="15"/>
  <c r="K357" i="15"/>
  <c r="J357" i="15"/>
  <c r="M356" i="15"/>
  <c r="L356" i="15"/>
  <c r="K356" i="15"/>
  <c r="J356" i="15"/>
  <c r="M355" i="15"/>
  <c r="L355" i="15"/>
  <c r="K355" i="15"/>
  <c r="J355" i="15"/>
  <c r="M354" i="15"/>
  <c r="L354" i="15"/>
  <c r="K354" i="15"/>
  <c r="J354" i="15"/>
  <c r="M353" i="15"/>
  <c r="L353" i="15"/>
  <c r="K353" i="15"/>
  <c r="J353" i="15"/>
  <c r="M352" i="15"/>
  <c r="L352" i="15"/>
  <c r="K352" i="15"/>
  <c r="J352" i="15"/>
  <c r="M351" i="15"/>
  <c r="L351" i="15"/>
  <c r="K351" i="15"/>
  <c r="J351" i="15"/>
  <c r="M350" i="15"/>
  <c r="L350" i="15"/>
  <c r="K350" i="15"/>
  <c r="J350" i="15"/>
  <c r="M349" i="15"/>
  <c r="L349" i="15"/>
  <c r="K349" i="15"/>
  <c r="J349" i="15"/>
  <c r="M348" i="15"/>
  <c r="L348" i="15"/>
  <c r="K348" i="15"/>
  <c r="J348" i="15"/>
  <c r="M347" i="15"/>
  <c r="L347" i="15"/>
  <c r="K347" i="15"/>
  <c r="J347" i="15"/>
  <c r="M346" i="15"/>
  <c r="L346" i="15"/>
  <c r="K346" i="15"/>
  <c r="J346" i="15"/>
  <c r="M345" i="15"/>
  <c r="L345" i="15"/>
  <c r="K345" i="15"/>
  <c r="J345" i="15"/>
  <c r="M344" i="15"/>
  <c r="L344" i="15"/>
  <c r="K344" i="15"/>
  <c r="J344" i="15"/>
  <c r="M343" i="15"/>
  <c r="L343" i="15"/>
  <c r="K343" i="15"/>
  <c r="J343" i="15"/>
  <c r="M342" i="15"/>
  <c r="L342" i="15"/>
  <c r="K342" i="15"/>
  <c r="J342" i="15"/>
  <c r="M341" i="15"/>
  <c r="L341" i="15"/>
  <c r="K341" i="15"/>
  <c r="J341" i="15"/>
  <c r="M340" i="15"/>
  <c r="L340" i="15"/>
  <c r="K340" i="15"/>
  <c r="J340" i="15"/>
  <c r="M339" i="15"/>
  <c r="L339" i="15"/>
  <c r="K339" i="15"/>
  <c r="J339" i="15"/>
  <c r="M338" i="15"/>
  <c r="L338" i="15"/>
  <c r="K338" i="15"/>
  <c r="J338" i="15"/>
  <c r="M337" i="15"/>
  <c r="L337" i="15"/>
  <c r="K337" i="15"/>
  <c r="J337" i="15"/>
  <c r="M336" i="15"/>
  <c r="L336" i="15"/>
  <c r="K336" i="15"/>
  <c r="J336" i="15"/>
  <c r="M335" i="15"/>
  <c r="L335" i="15"/>
  <c r="K335" i="15"/>
  <c r="J335" i="15"/>
  <c r="M334" i="15"/>
  <c r="L334" i="15"/>
  <c r="K334" i="15"/>
  <c r="J334" i="15"/>
  <c r="M333" i="15"/>
  <c r="L333" i="15"/>
  <c r="K333" i="15"/>
  <c r="J333" i="15"/>
  <c r="M332" i="15"/>
  <c r="L332" i="15"/>
  <c r="K332" i="15"/>
  <c r="J332" i="15"/>
  <c r="M331" i="15"/>
  <c r="L331" i="15"/>
  <c r="K331" i="15"/>
  <c r="J331" i="15"/>
  <c r="M330" i="15"/>
  <c r="L330" i="15"/>
  <c r="K330" i="15"/>
  <c r="J330" i="15"/>
  <c r="M329" i="15"/>
  <c r="L329" i="15"/>
  <c r="K329" i="15"/>
  <c r="J329" i="15"/>
  <c r="M328" i="15"/>
  <c r="L328" i="15"/>
  <c r="K328" i="15"/>
  <c r="J328" i="15"/>
  <c r="M327" i="15"/>
  <c r="L327" i="15"/>
  <c r="K327" i="15"/>
  <c r="J327" i="15"/>
  <c r="M326" i="15"/>
  <c r="L326" i="15"/>
  <c r="K326" i="15"/>
  <c r="J326" i="15"/>
  <c r="M325" i="15"/>
  <c r="L325" i="15"/>
  <c r="K325" i="15"/>
  <c r="J325" i="15"/>
  <c r="M324" i="15"/>
  <c r="L324" i="15"/>
  <c r="K324" i="15"/>
  <c r="J324" i="15"/>
  <c r="M323" i="15"/>
  <c r="L323" i="15"/>
  <c r="K323" i="15"/>
  <c r="J323" i="15"/>
  <c r="M322" i="15"/>
  <c r="L322" i="15"/>
  <c r="K322" i="15"/>
  <c r="J322" i="15"/>
  <c r="M321" i="15"/>
  <c r="L321" i="15"/>
  <c r="K321" i="15"/>
  <c r="J321" i="15"/>
  <c r="M320" i="15"/>
  <c r="L320" i="15"/>
  <c r="K320" i="15"/>
  <c r="J320" i="15"/>
  <c r="M319" i="15"/>
  <c r="L319" i="15"/>
  <c r="K319" i="15"/>
  <c r="J319" i="15"/>
  <c r="M318" i="15"/>
  <c r="L318" i="15"/>
  <c r="K318" i="15"/>
  <c r="J318" i="15"/>
  <c r="M317" i="15"/>
  <c r="L317" i="15"/>
  <c r="K317" i="15"/>
  <c r="J317" i="15"/>
  <c r="M316" i="15"/>
  <c r="L316" i="15"/>
  <c r="K316" i="15"/>
  <c r="J316" i="15"/>
  <c r="M315" i="15"/>
  <c r="L315" i="15"/>
  <c r="K315" i="15"/>
  <c r="J315" i="15"/>
  <c r="M314" i="15"/>
  <c r="L314" i="15"/>
  <c r="K314" i="15"/>
  <c r="J314" i="15"/>
  <c r="M313" i="15"/>
  <c r="L313" i="15"/>
  <c r="K313" i="15"/>
  <c r="J313" i="15"/>
  <c r="M312" i="15"/>
  <c r="L312" i="15"/>
  <c r="K312" i="15"/>
  <c r="J312" i="15"/>
  <c r="M311" i="15"/>
  <c r="L311" i="15"/>
  <c r="K311" i="15"/>
  <c r="J311" i="15"/>
  <c r="M310" i="15"/>
  <c r="L310" i="15"/>
  <c r="K310" i="15"/>
  <c r="J310" i="15"/>
  <c r="M309" i="15"/>
  <c r="L309" i="15"/>
  <c r="K309" i="15"/>
  <c r="J309" i="15"/>
  <c r="M308" i="15"/>
  <c r="L308" i="15"/>
  <c r="K308" i="15"/>
  <c r="J308" i="15"/>
  <c r="M307" i="15"/>
  <c r="L307" i="15"/>
  <c r="K307" i="15"/>
  <c r="J307" i="15"/>
  <c r="M306" i="15"/>
  <c r="L306" i="15"/>
  <c r="K306" i="15"/>
  <c r="J306" i="15"/>
  <c r="M305" i="15"/>
  <c r="L305" i="15"/>
  <c r="K305" i="15"/>
  <c r="J305" i="15"/>
  <c r="M304" i="15"/>
  <c r="L304" i="15"/>
  <c r="K304" i="15"/>
  <c r="J304" i="15"/>
  <c r="M303" i="15"/>
  <c r="L303" i="15"/>
  <c r="K303" i="15"/>
  <c r="J303" i="15"/>
  <c r="M302" i="15"/>
  <c r="L302" i="15"/>
  <c r="K302" i="15"/>
  <c r="J302" i="15"/>
  <c r="M301" i="15"/>
  <c r="L301" i="15"/>
  <c r="K301" i="15"/>
  <c r="J301" i="15"/>
  <c r="M300" i="15"/>
  <c r="L300" i="15"/>
  <c r="K300" i="15"/>
  <c r="J300" i="15"/>
  <c r="M299" i="15"/>
  <c r="L299" i="15"/>
  <c r="K299" i="15"/>
  <c r="J299" i="15"/>
  <c r="M298" i="15"/>
  <c r="L298" i="15"/>
  <c r="K298" i="15"/>
  <c r="J298" i="15"/>
  <c r="M297" i="15"/>
  <c r="L297" i="15"/>
  <c r="K297" i="15"/>
  <c r="J297" i="15"/>
  <c r="M296" i="15"/>
  <c r="L296" i="15"/>
  <c r="K296" i="15"/>
  <c r="J296" i="15"/>
  <c r="M295" i="15"/>
  <c r="L295" i="15"/>
  <c r="K295" i="15"/>
  <c r="J295" i="15"/>
  <c r="M294" i="15"/>
  <c r="L294" i="15"/>
  <c r="K294" i="15"/>
  <c r="J294" i="15"/>
  <c r="M293" i="15"/>
  <c r="L293" i="15"/>
  <c r="K293" i="15"/>
  <c r="J293" i="15"/>
  <c r="M292" i="15"/>
  <c r="L292" i="15"/>
  <c r="K292" i="15"/>
  <c r="J292" i="15"/>
  <c r="M291" i="15"/>
  <c r="L291" i="15"/>
  <c r="K291" i="15"/>
  <c r="J291" i="15"/>
  <c r="M290" i="15"/>
  <c r="L290" i="15"/>
  <c r="K290" i="15"/>
  <c r="J290" i="15"/>
  <c r="M289" i="15"/>
  <c r="L289" i="15"/>
  <c r="K289" i="15"/>
  <c r="J289" i="15"/>
  <c r="M288" i="15"/>
  <c r="L288" i="15"/>
  <c r="K288" i="15"/>
  <c r="J288" i="15"/>
  <c r="M287" i="15"/>
  <c r="L287" i="15"/>
  <c r="K287" i="15"/>
  <c r="J287" i="15"/>
  <c r="M286" i="15"/>
  <c r="L286" i="15"/>
  <c r="K286" i="15"/>
  <c r="J286" i="15"/>
  <c r="M285" i="15"/>
  <c r="L285" i="15"/>
  <c r="K285" i="15"/>
  <c r="J285" i="15"/>
  <c r="M284" i="15"/>
  <c r="L284" i="15"/>
  <c r="K284" i="15"/>
  <c r="J284" i="15"/>
  <c r="M283" i="15"/>
  <c r="L283" i="15"/>
  <c r="K283" i="15"/>
  <c r="J283" i="15"/>
  <c r="M282" i="15"/>
  <c r="L282" i="15"/>
  <c r="K282" i="15"/>
  <c r="J282" i="15"/>
  <c r="M281" i="15"/>
  <c r="L281" i="15"/>
  <c r="K281" i="15"/>
  <c r="J281" i="15"/>
  <c r="M280" i="15"/>
  <c r="L280" i="15"/>
  <c r="K280" i="15"/>
  <c r="J280" i="15"/>
  <c r="M279" i="15"/>
  <c r="L279" i="15"/>
  <c r="K279" i="15"/>
  <c r="J279" i="15"/>
  <c r="M278" i="15"/>
  <c r="L278" i="15"/>
  <c r="K278" i="15"/>
  <c r="J278" i="15"/>
  <c r="M277" i="15"/>
  <c r="L277" i="15"/>
  <c r="K277" i="15"/>
  <c r="J277" i="15"/>
  <c r="M276" i="15"/>
  <c r="L276" i="15"/>
  <c r="K276" i="15"/>
  <c r="J276" i="15"/>
  <c r="M275" i="15"/>
  <c r="L275" i="15"/>
  <c r="K275" i="15"/>
  <c r="J275" i="15"/>
  <c r="M274" i="15"/>
  <c r="L274" i="15"/>
  <c r="K274" i="15"/>
  <c r="J274" i="15"/>
  <c r="M273" i="15"/>
  <c r="L273" i="15"/>
  <c r="K273" i="15"/>
  <c r="J273" i="15"/>
  <c r="M272" i="15"/>
  <c r="L272" i="15"/>
  <c r="K272" i="15"/>
  <c r="J272" i="15"/>
  <c r="M271" i="15"/>
  <c r="L271" i="15"/>
  <c r="K271" i="15"/>
  <c r="J271" i="15"/>
  <c r="M270" i="15"/>
  <c r="L270" i="15"/>
  <c r="K270" i="15"/>
  <c r="J270" i="15"/>
  <c r="M269" i="15"/>
  <c r="L269" i="15"/>
  <c r="K269" i="15"/>
  <c r="J269" i="15"/>
  <c r="M268" i="15"/>
  <c r="L268" i="15"/>
  <c r="K268" i="15"/>
  <c r="J268" i="15"/>
  <c r="M267" i="15"/>
  <c r="L267" i="15"/>
  <c r="K267" i="15"/>
  <c r="J267" i="15"/>
  <c r="M266" i="15"/>
  <c r="L266" i="15"/>
  <c r="K266" i="15"/>
  <c r="J266" i="15"/>
  <c r="M265" i="15"/>
  <c r="L265" i="15"/>
  <c r="K265" i="15"/>
  <c r="J265" i="15"/>
  <c r="M264" i="15"/>
  <c r="L264" i="15"/>
  <c r="K264" i="15"/>
  <c r="J264" i="15"/>
  <c r="M263" i="15"/>
  <c r="L263" i="15"/>
  <c r="K263" i="15"/>
  <c r="J263" i="15"/>
  <c r="M262" i="15"/>
  <c r="L262" i="15"/>
  <c r="K262" i="15"/>
  <c r="J262" i="15"/>
  <c r="M261" i="15"/>
  <c r="L261" i="15"/>
  <c r="K261" i="15"/>
  <c r="J261" i="15"/>
  <c r="M260" i="15"/>
  <c r="L260" i="15"/>
  <c r="K260" i="15"/>
  <c r="J260" i="15"/>
  <c r="M259" i="15"/>
  <c r="L259" i="15"/>
  <c r="K259" i="15"/>
  <c r="J259" i="15"/>
  <c r="M258" i="15"/>
  <c r="L258" i="15"/>
  <c r="K258" i="15"/>
  <c r="J258" i="15"/>
  <c r="M257" i="15"/>
  <c r="L257" i="15"/>
  <c r="K257" i="15"/>
  <c r="J257" i="15"/>
  <c r="M256" i="15"/>
  <c r="L256" i="15"/>
  <c r="K256" i="15"/>
  <c r="J256" i="15"/>
  <c r="M255" i="15"/>
  <c r="L255" i="15"/>
  <c r="K255" i="15"/>
  <c r="J255" i="15"/>
  <c r="M254" i="15"/>
  <c r="L254" i="15"/>
  <c r="K254" i="15"/>
  <c r="J254" i="15"/>
  <c r="M253" i="15"/>
  <c r="L253" i="15"/>
  <c r="K253" i="15"/>
  <c r="J253" i="15"/>
  <c r="M252" i="15"/>
  <c r="L252" i="15"/>
  <c r="K252" i="15"/>
  <c r="J252" i="15"/>
  <c r="M251" i="15"/>
  <c r="L251" i="15"/>
  <c r="K251" i="15"/>
  <c r="J251" i="15"/>
  <c r="M250" i="15"/>
  <c r="L250" i="15"/>
  <c r="K250" i="15"/>
  <c r="J250" i="15"/>
  <c r="M249" i="15"/>
  <c r="L249" i="15"/>
  <c r="K249" i="15"/>
  <c r="J249" i="15"/>
  <c r="M248" i="15"/>
  <c r="L248" i="15"/>
  <c r="K248" i="15"/>
  <c r="J248" i="15"/>
  <c r="M247" i="15"/>
  <c r="L247" i="15"/>
  <c r="K247" i="15"/>
  <c r="J247" i="15"/>
  <c r="M246" i="15"/>
  <c r="L246" i="15"/>
  <c r="K246" i="15"/>
  <c r="J246" i="15"/>
  <c r="M245" i="15"/>
  <c r="L245" i="15"/>
  <c r="K245" i="15"/>
  <c r="J245" i="15"/>
  <c r="M244" i="15"/>
  <c r="L244" i="15"/>
  <c r="K244" i="15"/>
  <c r="J244" i="15"/>
  <c r="M243" i="15"/>
  <c r="L243" i="15"/>
  <c r="K243" i="15"/>
  <c r="J243" i="15"/>
  <c r="M242" i="15"/>
  <c r="L242" i="15"/>
  <c r="K242" i="15"/>
  <c r="J242" i="15"/>
  <c r="M241" i="15"/>
  <c r="L241" i="15"/>
  <c r="K241" i="15"/>
  <c r="J241" i="15"/>
  <c r="M240" i="15"/>
  <c r="L240" i="15"/>
  <c r="K240" i="15"/>
  <c r="J240" i="15"/>
  <c r="M239" i="15"/>
  <c r="L239" i="15"/>
  <c r="K239" i="15"/>
  <c r="J239" i="15"/>
  <c r="M238" i="15"/>
  <c r="L238" i="15"/>
  <c r="K238" i="15"/>
  <c r="J238" i="15"/>
  <c r="M237" i="15"/>
  <c r="L237" i="15"/>
  <c r="K237" i="15"/>
  <c r="J237" i="15"/>
  <c r="M236" i="15"/>
  <c r="L236" i="15"/>
  <c r="K236" i="15"/>
  <c r="J236" i="15"/>
  <c r="M235" i="15"/>
  <c r="L235" i="15"/>
  <c r="K235" i="15"/>
  <c r="J235" i="15"/>
  <c r="M234" i="15"/>
  <c r="L234" i="15"/>
  <c r="K234" i="15"/>
  <c r="J234" i="15"/>
  <c r="M233" i="15"/>
  <c r="L233" i="15"/>
  <c r="K233" i="15"/>
  <c r="J233" i="15"/>
  <c r="M232" i="15"/>
  <c r="L232" i="15"/>
  <c r="K232" i="15"/>
  <c r="J232" i="15"/>
  <c r="M231" i="15"/>
  <c r="L231" i="15"/>
  <c r="K231" i="15"/>
  <c r="J231" i="15"/>
  <c r="M230" i="15"/>
  <c r="L230" i="15"/>
  <c r="K230" i="15"/>
  <c r="J230" i="15"/>
  <c r="M229" i="15"/>
  <c r="L229" i="15"/>
  <c r="K229" i="15"/>
  <c r="J229" i="15"/>
  <c r="M228" i="15"/>
  <c r="L228" i="15"/>
  <c r="K228" i="15"/>
  <c r="J228" i="15"/>
  <c r="M227" i="15"/>
  <c r="L227" i="15"/>
  <c r="K227" i="15"/>
  <c r="J227" i="15"/>
  <c r="M226" i="15"/>
  <c r="L226" i="15"/>
  <c r="K226" i="15"/>
  <c r="J226" i="15"/>
  <c r="M225" i="15"/>
  <c r="L225" i="15"/>
  <c r="K225" i="15"/>
  <c r="J225" i="15"/>
  <c r="M224" i="15"/>
  <c r="L224" i="15"/>
  <c r="K224" i="15"/>
  <c r="J224" i="15"/>
  <c r="M223" i="15"/>
  <c r="L223" i="15"/>
  <c r="K223" i="15"/>
  <c r="J223" i="15"/>
  <c r="M222" i="15"/>
  <c r="L222" i="15"/>
  <c r="K222" i="15"/>
  <c r="J222" i="15"/>
  <c r="M221" i="15"/>
  <c r="L221" i="15"/>
  <c r="K221" i="15"/>
  <c r="J221" i="15"/>
  <c r="M220" i="15"/>
  <c r="L220" i="15"/>
  <c r="K220" i="15"/>
  <c r="J220" i="15"/>
  <c r="M219" i="15"/>
  <c r="L219" i="15"/>
  <c r="K219" i="15"/>
  <c r="J219" i="15"/>
  <c r="M218" i="15"/>
  <c r="L218" i="15"/>
  <c r="K218" i="15"/>
  <c r="J218" i="15"/>
  <c r="M217" i="15"/>
  <c r="L217" i="15"/>
  <c r="K217" i="15"/>
  <c r="J217" i="15"/>
  <c r="M216" i="15"/>
  <c r="L216" i="15"/>
  <c r="K216" i="15"/>
  <c r="J216" i="15"/>
  <c r="M215" i="15"/>
  <c r="L215" i="15"/>
  <c r="K215" i="15"/>
  <c r="J215" i="15"/>
  <c r="M214" i="15"/>
  <c r="L214" i="15"/>
  <c r="K214" i="15"/>
  <c r="J214" i="15"/>
  <c r="M213" i="15"/>
  <c r="L213" i="15"/>
  <c r="K213" i="15"/>
  <c r="J213" i="15"/>
  <c r="M212" i="15"/>
  <c r="L212" i="15"/>
  <c r="K212" i="15"/>
  <c r="J212" i="15"/>
  <c r="M211" i="15"/>
  <c r="L211" i="15"/>
  <c r="K211" i="15"/>
  <c r="J211" i="15"/>
  <c r="M210" i="15"/>
  <c r="L210" i="15"/>
  <c r="K210" i="15"/>
  <c r="J210" i="15"/>
  <c r="M209" i="15"/>
  <c r="L209" i="15"/>
  <c r="K209" i="15"/>
  <c r="J209" i="15"/>
  <c r="M208" i="15"/>
  <c r="L208" i="15"/>
  <c r="K208" i="15"/>
  <c r="J208" i="15"/>
  <c r="M207" i="15"/>
  <c r="L207" i="15"/>
  <c r="K207" i="15"/>
  <c r="J207" i="15"/>
  <c r="M206" i="15"/>
  <c r="L206" i="15"/>
  <c r="K206" i="15"/>
  <c r="J206" i="15"/>
  <c r="M205" i="15"/>
  <c r="L205" i="15"/>
  <c r="K205" i="15"/>
  <c r="J205" i="15"/>
  <c r="M204" i="15"/>
  <c r="L204" i="15"/>
  <c r="K204" i="15"/>
  <c r="J204" i="15"/>
  <c r="M203" i="15"/>
  <c r="L203" i="15"/>
  <c r="K203" i="15"/>
  <c r="J203" i="15"/>
  <c r="M202" i="15"/>
  <c r="L202" i="15"/>
  <c r="K202" i="15"/>
  <c r="J202" i="15"/>
  <c r="M201" i="15"/>
  <c r="L201" i="15"/>
  <c r="K201" i="15"/>
  <c r="J201" i="15"/>
  <c r="M200" i="15"/>
  <c r="L200" i="15"/>
  <c r="K200" i="15"/>
  <c r="J200" i="15"/>
  <c r="M199" i="15"/>
  <c r="L199" i="15"/>
  <c r="K199" i="15"/>
  <c r="J199" i="15"/>
  <c r="M198" i="15"/>
  <c r="L198" i="15"/>
  <c r="K198" i="15"/>
  <c r="J198" i="15"/>
  <c r="M197" i="15"/>
  <c r="L197" i="15"/>
  <c r="K197" i="15"/>
  <c r="J197" i="15"/>
  <c r="M196" i="15"/>
  <c r="L196" i="15"/>
  <c r="K196" i="15"/>
  <c r="J196" i="15"/>
  <c r="M195" i="15"/>
  <c r="L195" i="15"/>
  <c r="K195" i="15"/>
  <c r="J195" i="15"/>
  <c r="M194" i="15"/>
  <c r="L194" i="15"/>
  <c r="K194" i="15"/>
  <c r="J194" i="15"/>
  <c r="M193" i="15"/>
  <c r="L193" i="15"/>
  <c r="K193" i="15"/>
  <c r="J193" i="15"/>
  <c r="M192" i="15"/>
  <c r="L192" i="15"/>
  <c r="K192" i="15"/>
  <c r="J192" i="15"/>
  <c r="M191" i="15"/>
  <c r="L191" i="15"/>
  <c r="K191" i="15"/>
  <c r="J191" i="15"/>
  <c r="M190" i="15"/>
  <c r="L190" i="15"/>
  <c r="K190" i="15"/>
  <c r="J190" i="15"/>
  <c r="M189" i="15"/>
  <c r="L189" i="15"/>
  <c r="K189" i="15"/>
  <c r="J189" i="15"/>
  <c r="M188" i="15"/>
  <c r="L188" i="15"/>
  <c r="K188" i="15"/>
  <c r="J188" i="15"/>
  <c r="M187" i="15"/>
  <c r="L187" i="15"/>
  <c r="K187" i="15"/>
  <c r="J187" i="15"/>
  <c r="M186" i="15"/>
  <c r="L186" i="15"/>
  <c r="K186" i="15"/>
  <c r="J186" i="15"/>
  <c r="M185" i="15"/>
  <c r="L185" i="15"/>
  <c r="K185" i="15"/>
  <c r="J185" i="15"/>
  <c r="M184" i="15"/>
  <c r="L184" i="15"/>
  <c r="K184" i="15"/>
  <c r="J184" i="15"/>
  <c r="M183" i="15"/>
  <c r="L183" i="15"/>
  <c r="K183" i="15"/>
  <c r="J183" i="15"/>
  <c r="M182" i="15"/>
  <c r="L182" i="15"/>
  <c r="K182" i="15"/>
  <c r="J182" i="15"/>
  <c r="M181" i="15"/>
  <c r="L181" i="15"/>
  <c r="K181" i="15"/>
  <c r="J181" i="15"/>
  <c r="M180" i="15"/>
  <c r="L180" i="15"/>
  <c r="K180" i="15"/>
  <c r="J180" i="15"/>
  <c r="M179" i="15"/>
  <c r="L179" i="15"/>
  <c r="K179" i="15"/>
  <c r="J179" i="15"/>
  <c r="M178" i="15"/>
  <c r="L178" i="15"/>
  <c r="K178" i="15"/>
  <c r="J178" i="15"/>
  <c r="M177" i="15"/>
  <c r="L177" i="15"/>
  <c r="K177" i="15"/>
  <c r="J177" i="15"/>
  <c r="M176" i="15"/>
  <c r="L176" i="15"/>
  <c r="K176" i="15"/>
  <c r="J176" i="15"/>
  <c r="M175" i="15"/>
  <c r="L175" i="15"/>
  <c r="K175" i="15"/>
  <c r="J175" i="15"/>
  <c r="M174" i="15"/>
  <c r="L174" i="15"/>
  <c r="K174" i="15"/>
  <c r="J174" i="15"/>
  <c r="M173" i="15"/>
  <c r="L173" i="15"/>
  <c r="K173" i="15"/>
  <c r="J173" i="15"/>
  <c r="M172" i="15"/>
  <c r="L172" i="15"/>
  <c r="K172" i="15"/>
  <c r="J172" i="15"/>
  <c r="M171" i="15"/>
  <c r="L171" i="15"/>
  <c r="K171" i="15"/>
  <c r="J171" i="15"/>
  <c r="M170" i="15"/>
  <c r="L170" i="15"/>
  <c r="K170" i="15"/>
  <c r="J170" i="15"/>
  <c r="M169" i="15"/>
  <c r="L169" i="15"/>
  <c r="K169" i="15"/>
  <c r="J169" i="15"/>
  <c r="M168" i="15"/>
  <c r="L168" i="15"/>
  <c r="K168" i="15"/>
  <c r="J168" i="15"/>
  <c r="M167" i="15"/>
  <c r="L167" i="15"/>
  <c r="K167" i="15"/>
  <c r="J167" i="15"/>
  <c r="M166" i="15"/>
  <c r="L166" i="15"/>
  <c r="K166" i="15"/>
  <c r="J166" i="15"/>
  <c r="M165" i="15"/>
  <c r="L165" i="15"/>
  <c r="K165" i="15"/>
  <c r="J165" i="15"/>
  <c r="M164" i="15"/>
  <c r="L164" i="15"/>
  <c r="K164" i="15"/>
  <c r="J164" i="15"/>
  <c r="M163" i="15"/>
  <c r="L163" i="15"/>
  <c r="K163" i="15"/>
  <c r="J163" i="15"/>
  <c r="M162" i="15"/>
  <c r="L162" i="15"/>
  <c r="K162" i="15"/>
  <c r="J162" i="15"/>
  <c r="M161" i="15"/>
  <c r="L161" i="15"/>
  <c r="K161" i="15"/>
  <c r="J161" i="15"/>
  <c r="M160" i="15"/>
  <c r="L160" i="15"/>
  <c r="K160" i="15"/>
  <c r="J160" i="15"/>
  <c r="M159" i="15"/>
  <c r="L159" i="15"/>
  <c r="K159" i="15"/>
  <c r="J159" i="15"/>
  <c r="M158" i="15"/>
  <c r="L158" i="15"/>
  <c r="K158" i="15"/>
  <c r="J158" i="15"/>
  <c r="M157" i="15"/>
  <c r="L157" i="15"/>
  <c r="K157" i="15"/>
  <c r="J157" i="15"/>
  <c r="M156" i="15"/>
  <c r="L156" i="15"/>
  <c r="K156" i="15"/>
  <c r="J156" i="15"/>
  <c r="M155" i="15"/>
  <c r="L155" i="15"/>
  <c r="K155" i="15"/>
  <c r="J155" i="15"/>
  <c r="M154" i="15"/>
  <c r="L154" i="15"/>
  <c r="K154" i="15"/>
  <c r="J154" i="15"/>
  <c r="M153" i="15"/>
  <c r="L153" i="15"/>
  <c r="K153" i="15"/>
  <c r="J153" i="15"/>
  <c r="M152" i="15"/>
  <c r="L152" i="15"/>
  <c r="K152" i="15"/>
  <c r="J152" i="15"/>
  <c r="M151" i="15"/>
  <c r="L151" i="15"/>
  <c r="K151" i="15"/>
  <c r="J151" i="15"/>
  <c r="M150" i="15"/>
  <c r="L150" i="15"/>
  <c r="K150" i="15"/>
  <c r="J150" i="15"/>
  <c r="M149" i="15"/>
  <c r="L149" i="15"/>
  <c r="K149" i="15"/>
  <c r="J149" i="15"/>
  <c r="M148" i="15"/>
  <c r="L148" i="15"/>
  <c r="K148" i="15"/>
  <c r="J148" i="15"/>
  <c r="M147" i="15"/>
  <c r="L147" i="15"/>
  <c r="K147" i="15"/>
  <c r="J147" i="15"/>
  <c r="M146" i="15"/>
  <c r="L146" i="15"/>
  <c r="K146" i="15"/>
  <c r="J146" i="15"/>
  <c r="M145" i="15"/>
  <c r="L145" i="15"/>
  <c r="K145" i="15"/>
  <c r="J145" i="15"/>
  <c r="M144" i="15"/>
  <c r="L144" i="15"/>
  <c r="K144" i="15"/>
  <c r="J144" i="15"/>
  <c r="M143" i="15"/>
  <c r="L143" i="15"/>
  <c r="K143" i="15"/>
  <c r="J143" i="15"/>
  <c r="M142" i="15"/>
  <c r="L142" i="15"/>
  <c r="K142" i="15"/>
  <c r="J142" i="15"/>
  <c r="M141" i="15"/>
  <c r="L141" i="15"/>
  <c r="K141" i="15"/>
  <c r="J141" i="15"/>
  <c r="M140" i="15"/>
  <c r="L140" i="15"/>
  <c r="K140" i="15"/>
  <c r="J140" i="15"/>
  <c r="M139" i="15"/>
  <c r="L139" i="15"/>
  <c r="K139" i="15"/>
  <c r="J139" i="15"/>
  <c r="M138" i="15"/>
  <c r="L138" i="15"/>
  <c r="K138" i="15"/>
  <c r="J138" i="15"/>
  <c r="M137" i="15"/>
  <c r="L137" i="15"/>
  <c r="K137" i="15"/>
  <c r="J137" i="15"/>
  <c r="M136" i="15"/>
  <c r="L136" i="15"/>
  <c r="K136" i="15"/>
  <c r="J136" i="15"/>
  <c r="M135" i="15"/>
  <c r="L135" i="15"/>
  <c r="K135" i="15"/>
  <c r="J135" i="15"/>
  <c r="M134" i="15"/>
  <c r="L134" i="15"/>
  <c r="K134" i="15"/>
  <c r="J134" i="15"/>
  <c r="M133" i="15"/>
  <c r="L133" i="15"/>
  <c r="K133" i="15"/>
  <c r="J133" i="15"/>
  <c r="M132" i="15"/>
  <c r="L132" i="15"/>
  <c r="K132" i="15"/>
  <c r="J132" i="15"/>
  <c r="M131" i="15"/>
  <c r="L131" i="15"/>
  <c r="K131" i="15"/>
  <c r="J131" i="15"/>
  <c r="M130" i="15"/>
  <c r="L130" i="15"/>
  <c r="K130" i="15"/>
  <c r="J130" i="15"/>
  <c r="M129" i="15"/>
  <c r="L129" i="15"/>
  <c r="K129" i="15"/>
  <c r="J129" i="15"/>
  <c r="M128" i="15"/>
  <c r="L128" i="15"/>
  <c r="K128" i="15"/>
  <c r="J128" i="15"/>
  <c r="M127" i="15"/>
  <c r="L127" i="15"/>
  <c r="K127" i="15"/>
  <c r="J127" i="15"/>
  <c r="M126" i="15"/>
  <c r="L126" i="15"/>
  <c r="K126" i="15"/>
  <c r="J126" i="15"/>
  <c r="M125" i="15"/>
  <c r="L125" i="15"/>
  <c r="K125" i="15"/>
  <c r="J125" i="15"/>
  <c r="M124" i="15"/>
  <c r="L124" i="15"/>
  <c r="K124" i="15"/>
  <c r="J124" i="15"/>
  <c r="M123" i="15"/>
  <c r="L123" i="15"/>
  <c r="K123" i="15"/>
  <c r="J123" i="15"/>
  <c r="M122" i="15"/>
  <c r="L122" i="15"/>
  <c r="K122" i="15"/>
  <c r="J122" i="15"/>
  <c r="M121" i="15"/>
  <c r="L121" i="15"/>
  <c r="K121" i="15"/>
  <c r="J121" i="15"/>
  <c r="M120" i="15"/>
  <c r="L120" i="15"/>
  <c r="K120" i="15"/>
  <c r="J120" i="15"/>
  <c r="M119" i="15"/>
  <c r="L119" i="15"/>
  <c r="K119" i="15"/>
  <c r="J119" i="15"/>
  <c r="M118" i="15"/>
  <c r="L118" i="15"/>
  <c r="K118" i="15"/>
  <c r="J118" i="15"/>
  <c r="M117" i="15"/>
  <c r="L117" i="15"/>
  <c r="K117" i="15"/>
  <c r="J117" i="15"/>
  <c r="M116" i="15"/>
  <c r="L116" i="15"/>
  <c r="K116" i="15"/>
  <c r="J116" i="15"/>
  <c r="M115" i="15"/>
  <c r="L115" i="15"/>
  <c r="K115" i="15"/>
  <c r="J115" i="15"/>
  <c r="M114" i="15"/>
  <c r="L114" i="15"/>
  <c r="K114" i="15"/>
  <c r="J114" i="15"/>
  <c r="M113" i="15"/>
  <c r="L113" i="15"/>
  <c r="K113" i="15"/>
  <c r="J113" i="15"/>
  <c r="M112" i="15"/>
  <c r="L112" i="15"/>
  <c r="K112" i="15"/>
  <c r="J112" i="15"/>
  <c r="M111" i="15"/>
  <c r="L111" i="15"/>
  <c r="K111" i="15"/>
  <c r="J111" i="15"/>
  <c r="M110" i="15"/>
  <c r="L110" i="15"/>
  <c r="K110" i="15"/>
  <c r="J110" i="15"/>
  <c r="M109" i="15"/>
  <c r="L109" i="15"/>
  <c r="K109" i="15"/>
  <c r="J109" i="15"/>
  <c r="M108" i="15"/>
  <c r="L108" i="15"/>
  <c r="K108" i="15"/>
  <c r="J108" i="15"/>
  <c r="M107" i="15"/>
  <c r="L107" i="15"/>
  <c r="K107" i="15"/>
  <c r="J107" i="15"/>
  <c r="M106" i="15"/>
  <c r="L106" i="15"/>
  <c r="K106" i="15"/>
  <c r="J106" i="15"/>
  <c r="M105" i="15"/>
  <c r="L105" i="15"/>
  <c r="K105" i="15"/>
  <c r="J105" i="15"/>
  <c r="M104" i="15"/>
  <c r="L104" i="15"/>
  <c r="K104" i="15"/>
  <c r="J104" i="15"/>
  <c r="M103" i="15"/>
  <c r="L103" i="15"/>
  <c r="K103" i="15"/>
  <c r="J103" i="15"/>
  <c r="M102" i="15"/>
  <c r="L102" i="15"/>
  <c r="K102" i="15"/>
  <c r="J102" i="15"/>
  <c r="M101" i="15"/>
  <c r="L101" i="15"/>
  <c r="K101" i="15"/>
  <c r="J101" i="15"/>
  <c r="M100" i="15"/>
  <c r="L100" i="15"/>
  <c r="K100" i="15"/>
  <c r="J100" i="15"/>
  <c r="M99" i="15"/>
  <c r="L99" i="15"/>
  <c r="K99" i="15"/>
  <c r="J99" i="15"/>
  <c r="M98" i="15"/>
  <c r="L98" i="15"/>
  <c r="K98" i="15"/>
  <c r="J98" i="15"/>
  <c r="M97" i="15"/>
  <c r="L97" i="15"/>
  <c r="K97" i="15"/>
  <c r="J97" i="15"/>
  <c r="M96" i="15"/>
  <c r="L96" i="15"/>
  <c r="K96" i="15"/>
  <c r="J96" i="15"/>
  <c r="M95" i="15"/>
  <c r="L95" i="15"/>
  <c r="K95" i="15"/>
  <c r="J95" i="15"/>
  <c r="M94" i="15"/>
  <c r="L94" i="15"/>
  <c r="K94" i="15"/>
  <c r="J94" i="15"/>
  <c r="M93" i="15"/>
  <c r="L93" i="15"/>
  <c r="K93" i="15"/>
  <c r="J93" i="15"/>
  <c r="M92" i="15"/>
  <c r="L92" i="15"/>
  <c r="K92" i="15"/>
  <c r="J92" i="15"/>
  <c r="M91" i="15"/>
  <c r="L91" i="15"/>
  <c r="K91" i="15"/>
  <c r="J91" i="15"/>
  <c r="M90" i="15"/>
  <c r="L90" i="15"/>
  <c r="K90" i="15"/>
  <c r="J90" i="15"/>
  <c r="M89" i="15"/>
  <c r="L89" i="15"/>
  <c r="K89" i="15"/>
  <c r="J89" i="15"/>
  <c r="M88" i="15"/>
  <c r="L88" i="15"/>
  <c r="K88" i="15"/>
  <c r="J88" i="15"/>
  <c r="M87" i="15"/>
  <c r="L87" i="15"/>
  <c r="K87" i="15"/>
  <c r="J87" i="15"/>
  <c r="M86" i="15"/>
  <c r="L86" i="15"/>
  <c r="K86" i="15"/>
  <c r="J86" i="15"/>
  <c r="M85" i="15"/>
  <c r="L85" i="15"/>
  <c r="K85" i="15"/>
  <c r="J85" i="15"/>
  <c r="M84" i="15"/>
  <c r="L84" i="15"/>
  <c r="K84" i="15"/>
  <c r="J84" i="15"/>
  <c r="M83" i="15"/>
  <c r="L83" i="15"/>
  <c r="K83" i="15"/>
  <c r="J83" i="15"/>
  <c r="M82" i="15"/>
  <c r="L82" i="15"/>
  <c r="K82" i="15"/>
  <c r="J82" i="15"/>
  <c r="M81" i="15"/>
  <c r="L81" i="15"/>
  <c r="K81" i="15"/>
  <c r="J81" i="15"/>
  <c r="M80" i="15"/>
  <c r="L80" i="15"/>
  <c r="K80" i="15"/>
  <c r="J80" i="15"/>
  <c r="M79" i="15"/>
  <c r="L79" i="15"/>
  <c r="K79" i="15"/>
  <c r="J79" i="15"/>
  <c r="M78" i="15"/>
  <c r="L78" i="15"/>
  <c r="K78" i="15"/>
  <c r="J78" i="15"/>
  <c r="M77" i="15"/>
  <c r="L77" i="15"/>
  <c r="K77" i="15"/>
  <c r="J77" i="15"/>
  <c r="M76" i="15"/>
  <c r="L76" i="15"/>
  <c r="K76" i="15"/>
  <c r="J76" i="15"/>
  <c r="M75" i="15"/>
  <c r="L75" i="15"/>
  <c r="K75" i="15"/>
  <c r="J75" i="15"/>
  <c r="M74" i="15"/>
  <c r="L74" i="15"/>
  <c r="K74" i="15"/>
  <c r="J74" i="15"/>
  <c r="M73" i="15"/>
  <c r="L73" i="15"/>
  <c r="K73" i="15"/>
  <c r="J73" i="15"/>
  <c r="M72" i="15"/>
  <c r="L72" i="15"/>
  <c r="K72" i="15"/>
  <c r="J72" i="15"/>
  <c r="M71" i="15"/>
  <c r="L71" i="15"/>
  <c r="K71" i="15"/>
  <c r="J71" i="15"/>
  <c r="M70" i="15"/>
  <c r="L70" i="15"/>
  <c r="K70" i="15"/>
  <c r="J70" i="15"/>
  <c r="M69" i="15"/>
  <c r="L69" i="15"/>
  <c r="K69" i="15"/>
  <c r="J69" i="15"/>
  <c r="M68" i="15"/>
  <c r="L68" i="15"/>
  <c r="K68" i="15"/>
  <c r="J68" i="15"/>
  <c r="M67" i="15"/>
  <c r="L67" i="15"/>
  <c r="K67" i="15"/>
  <c r="J67" i="15"/>
  <c r="M66" i="15"/>
  <c r="L66" i="15"/>
  <c r="K66" i="15"/>
  <c r="J66" i="15"/>
  <c r="M65" i="15"/>
  <c r="L65" i="15"/>
  <c r="K65" i="15"/>
  <c r="J65" i="15"/>
  <c r="M64" i="15"/>
  <c r="L64" i="15"/>
  <c r="K64" i="15"/>
  <c r="J64" i="15"/>
  <c r="M63" i="15"/>
  <c r="L63" i="15"/>
  <c r="K63" i="15"/>
  <c r="J63" i="15"/>
  <c r="M62" i="15"/>
  <c r="L62" i="15"/>
  <c r="K62" i="15"/>
  <c r="J62" i="15"/>
  <c r="M61" i="15"/>
  <c r="L61" i="15"/>
  <c r="K61" i="15"/>
  <c r="J61" i="15"/>
  <c r="M60" i="15"/>
  <c r="L60" i="15"/>
  <c r="K60" i="15"/>
  <c r="J60" i="15"/>
  <c r="M59" i="15"/>
  <c r="L59" i="15"/>
  <c r="K59" i="15"/>
  <c r="J59" i="15"/>
  <c r="M58" i="15"/>
  <c r="L58" i="15"/>
  <c r="K58" i="15"/>
  <c r="J58" i="15"/>
  <c r="M57" i="15"/>
  <c r="L57" i="15"/>
  <c r="K57" i="15"/>
  <c r="J57" i="15"/>
  <c r="M56" i="15"/>
  <c r="L56" i="15"/>
  <c r="K56" i="15"/>
  <c r="J56" i="15"/>
  <c r="M55" i="15"/>
  <c r="L55" i="15"/>
  <c r="K55" i="15"/>
  <c r="J55" i="15"/>
  <c r="M54" i="15"/>
  <c r="L54" i="15"/>
  <c r="K54" i="15"/>
  <c r="J54" i="15"/>
  <c r="M53" i="15"/>
  <c r="L53" i="15"/>
  <c r="K53" i="15"/>
  <c r="J53" i="15"/>
  <c r="M52" i="15"/>
  <c r="L52" i="15"/>
  <c r="K52" i="15"/>
  <c r="J52" i="15"/>
  <c r="M51" i="15"/>
  <c r="L51" i="15"/>
  <c r="K51" i="15"/>
  <c r="J51" i="15"/>
  <c r="M50" i="15"/>
  <c r="L50" i="15"/>
  <c r="K50" i="15"/>
  <c r="J50" i="15"/>
  <c r="M49" i="15"/>
  <c r="L49" i="15"/>
  <c r="K49" i="15"/>
  <c r="J49" i="15"/>
  <c r="M48" i="15"/>
  <c r="L48" i="15"/>
  <c r="K48" i="15"/>
  <c r="J48" i="15"/>
  <c r="M47" i="15"/>
  <c r="L47" i="15"/>
  <c r="K47" i="15"/>
  <c r="J47" i="15"/>
  <c r="M46" i="15"/>
  <c r="L46" i="15"/>
  <c r="K46" i="15"/>
  <c r="J46" i="15"/>
  <c r="M45" i="15"/>
  <c r="L45" i="15"/>
  <c r="K45" i="15"/>
  <c r="J45" i="15"/>
  <c r="M44" i="15"/>
  <c r="L44" i="15"/>
  <c r="K44" i="15"/>
  <c r="J44" i="15"/>
  <c r="M43" i="15"/>
  <c r="L43" i="15"/>
  <c r="K43" i="15"/>
  <c r="J43" i="15"/>
  <c r="M42" i="15"/>
  <c r="L42" i="15"/>
  <c r="K42" i="15"/>
  <c r="J42" i="15"/>
  <c r="M41" i="15"/>
  <c r="L41" i="15"/>
  <c r="K41" i="15"/>
  <c r="J41" i="15"/>
  <c r="M40" i="15"/>
  <c r="L40" i="15"/>
  <c r="K40" i="15"/>
  <c r="J40" i="15"/>
  <c r="M39" i="15"/>
  <c r="L39" i="15"/>
  <c r="K39" i="15"/>
  <c r="J39" i="15"/>
  <c r="M38" i="15"/>
  <c r="L38" i="15"/>
  <c r="K38" i="15"/>
  <c r="J38" i="15"/>
  <c r="M37" i="15"/>
  <c r="L37" i="15"/>
  <c r="K37" i="15"/>
  <c r="J37" i="15"/>
  <c r="M36" i="15"/>
  <c r="L36" i="15"/>
  <c r="K36" i="15"/>
  <c r="J36" i="15"/>
  <c r="M35" i="15"/>
  <c r="L35" i="15"/>
  <c r="K35" i="15"/>
  <c r="J35" i="15"/>
  <c r="M34" i="15"/>
  <c r="L34" i="15"/>
  <c r="K34" i="15"/>
  <c r="J34" i="15"/>
  <c r="M33" i="15"/>
  <c r="L33" i="15"/>
  <c r="K33" i="15"/>
  <c r="J33" i="15"/>
  <c r="M32" i="15"/>
  <c r="L32" i="15"/>
  <c r="K32" i="15"/>
  <c r="J32" i="15"/>
  <c r="M31" i="15"/>
  <c r="L31" i="15"/>
  <c r="K31" i="15"/>
  <c r="J31" i="15"/>
  <c r="M30" i="15"/>
  <c r="L30" i="15"/>
  <c r="K30" i="15"/>
  <c r="J30" i="15"/>
  <c r="M29" i="15"/>
  <c r="L29" i="15"/>
  <c r="K29" i="15"/>
  <c r="J29" i="15"/>
  <c r="M28" i="15"/>
  <c r="L28" i="15"/>
  <c r="K28" i="15"/>
  <c r="J28" i="15"/>
  <c r="M27" i="15"/>
  <c r="L27" i="15"/>
  <c r="K27" i="15"/>
  <c r="J27" i="15"/>
  <c r="M26" i="15"/>
  <c r="L26" i="15"/>
  <c r="K26" i="15"/>
  <c r="J26" i="15"/>
  <c r="M25" i="15"/>
  <c r="L25" i="15"/>
  <c r="K25" i="15"/>
  <c r="J25" i="15"/>
  <c r="M24" i="15"/>
  <c r="L24" i="15"/>
  <c r="K24" i="15"/>
  <c r="J24" i="15"/>
  <c r="M23" i="15"/>
  <c r="L23" i="15"/>
  <c r="K23" i="15"/>
  <c r="J23" i="15"/>
  <c r="M22" i="15"/>
  <c r="L22" i="15"/>
  <c r="K22" i="15"/>
  <c r="J22" i="15"/>
  <c r="M21" i="15"/>
  <c r="L21" i="15"/>
  <c r="K21" i="15"/>
  <c r="J21" i="15"/>
  <c r="M20" i="15"/>
  <c r="L20" i="15"/>
  <c r="K20" i="15"/>
  <c r="J20" i="15"/>
  <c r="M19" i="15"/>
  <c r="L19" i="15"/>
  <c r="K19" i="15"/>
  <c r="J19" i="15"/>
  <c r="M18" i="15"/>
  <c r="L18" i="15"/>
  <c r="K18" i="15"/>
  <c r="J18" i="15"/>
  <c r="M17" i="15"/>
  <c r="L17" i="15"/>
  <c r="K17" i="15"/>
  <c r="J17" i="15"/>
  <c r="G17" i="15"/>
  <c r="E17" i="15"/>
  <c r="C17" i="15"/>
  <c r="A17" i="15"/>
  <c r="M16" i="15"/>
  <c r="L16" i="15"/>
  <c r="K16" i="15"/>
  <c r="J16" i="15"/>
  <c r="M15" i="15"/>
  <c r="L15" i="15"/>
  <c r="K15" i="15"/>
  <c r="J15" i="15"/>
  <c r="M14" i="15"/>
  <c r="L14" i="15"/>
  <c r="K14" i="15"/>
  <c r="J14" i="15"/>
  <c r="G14" i="15"/>
  <c r="E14" i="15"/>
  <c r="C14" i="15"/>
  <c r="A14" i="15"/>
  <c r="M13" i="15"/>
  <c r="L13" i="15"/>
  <c r="K13" i="15"/>
  <c r="J13" i="15"/>
  <c r="M12" i="15"/>
  <c r="L12" i="15"/>
  <c r="K12" i="15"/>
  <c r="J12" i="15"/>
  <c r="M11" i="15"/>
  <c r="L11" i="15"/>
  <c r="K11" i="15"/>
  <c r="J11" i="15"/>
  <c r="G11" i="15"/>
  <c r="E11" i="15"/>
  <c r="C11" i="15"/>
  <c r="A11" i="15"/>
  <c r="M10" i="15"/>
  <c r="L10" i="15"/>
  <c r="K10" i="15"/>
  <c r="J10" i="15"/>
  <c r="M9" i="15"/>
  <c r="L9" i="15"/>
  <c r="K9" i="15"/>
  <c r="J9" i="15"/>
  <c r="M8" i="15"/>
  <c r="L8" i="15"/>
  <c r="K8" i="15"/>
  <c r="J8" i="15"/>
  <c r="M7" i="15"/>
  <c r="L7" i="15"/>
  <c r="K7" i="15"/>
  <c r="J7" i="15"/>
  <c r="M6" i="15"/>
  <c r="L6" i="15"/>
  <c r="K6" i="15"/>
  <c r="J6" i="15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</calcChain>
</file>

<file path=xl/sharedStrings.xml><?xml version="1.0" encoding="utf-8"?>
<sst xmlns="http://schemas.openxmlformats.org/spreadsheetml/2006/main" count="1349" uniqueCount="813">
  <si>
    <t>Autoimmune Pattern &amp; Care Tracker</t>
  </si>
  <si>
    <t>DEMO VERSION — fictional sample data is included so you can see how the tracker works.</t>
  </si>
  <si>
    <t>A customizable workbook for tracking symptoms, flares, treatments, nutrition/AIP, labs, care access, and patterns over time.</t>
  </si>
  <si>
    <t>Start in three steps</t>
  </si>
  <si>
    <t>1. Open Customize Lists and personalize any dropdown choices you want. Each list includes blank rows for your own options.</t>
  </si>
  <si>
    <t>2. Open Customize and tailor the symptom library so it reflects what you actually want to track.</t>
  </si>
  <si>
    <t>3. Start with Daily Check-In. Add detail in the other logs only when it is useful to you.</t>
  </si>
  <si>
    <t>A low-effort workflow</t>
  </si>
  <si>
    <t>1. QUICK DAILY</t>
  </si>
  <si>
    <t>Daily Check-In — One row per day for symptom burden, pain, fatigue, energy, sleep, function, stress, and broad system impact.</t>
  </si>
  <si>
    <t>2. ADD DETAIL WHEN NEEDED</t>
  </si>
  <si>
    <t>Use the symptom, flare, treatment, food, trigger, lab, or access logs when something changes or deserves its own record.</t>
  </si>
  <si>
    <t>3. REVIEW PATTERNS</t>
  </si>
  <si>
    <t>Use the Dashboard and your detailed logs to prepare for appointments, compare time periods, or simply understand what has been changing.</t>
  </si>
  <si>
    <t>Make it yours</t>
  </si>
  <si>
    <t>DROPDOWNS — Open Customize Lists. Replace any blank row in a list table with your own wording and the dropdowns will use it.</t>
  </si>
  <si>
    <t>SYMPTOMS — Add, rename, or remove symptoms and categories on Customize so the tracker fits your experience.</t>
  </si>
  <si>
    <t>THEME — In Excel, choose Page Layout → Themes or Colors. Theme-linked titles, headers, cards, tables, and charts will update.</t>
  </si>
  <si>
    <t>TRACKING STYLE — Use only the sheets that help you. The workbook is designed to work whether you track a little or a lot.</t>
  </si>
  <si>
    <t>Workbook map</t>
  </si>
  <si>
    <t>Sheet</t>
  </si>
  <si>
    <t>Use it for</t>
  </si>
  <si>
    <t>START HERE</t>
  </si>
  <si>
    <t>Quick setup, customization steps, and workbook map.</t>
  </si>
  <si>
    <t>Dashboard</t>
  </si>
  <si>
    <t>Review-window summary and trend chart.</t>
  </si>
  <si>
    <t>Profile &amp; Goals</t>
  </si>
  <si>
    <t>Baseline, current status, goals, and your own definitions of flare and doing well.</t>
  </si>
  <si>
    <t>Customize</t>
  </si>
  <si>
    <t>Symptom library and personal symptom/category setup.</t>
  </si>
  <si>
    <t>Customize Lists</t>
  </si>
  <si>
    <t>Edit every dropdown list and add your own choices.</t>
  </si>
  <si>
    <t>Daily Check-In</t>
  </si>
  <si>
    <t>Fast daily snapshot.</t>
  </si>
  <si>
    <t>Symptom Log</t>
  </si>
  <si>
    <t>Detailed symptom-level entries.</t>
  </si>
  <si>
    <t>Flare Log</t>
  </si>
  <si>
    <t>Distinct flare episodes and functional impact.</t>
  </si>
  <si>
    <t>Treatments</t>
  </si>
  <si>
    <t>Medication, infusion, injection, supplement, therapy, device, nutrition, or lifestyle plan.</t>
  </si>
  <si>
    <t>Treatment Events</t>
  </si>
  <si>
    <t>Actual doses/events, missed or held treatment, response, and side effects.</t>
  </si>
  <si>
    <t>AIP &amp; Nutrition</t>
  </si>
  <si>
    <t>AIP phase, food/reintroduction observations, and nutrition-related changes.</t>
  </si>
  <si>
    <t>Lifestyle &amp; Triggers</t>
  </si>
  <si>
    <t>Sleep, stress, weather, activity, infection, allergens, hormones, travel, and other context.</t>
  </si>
  <si>
    <t>Labs</t>
  </si>
  <si>
    <t>Lab results and the reference ranges shown on the report.</t>
  </si>
  <si>
    <t>Appointments</t>
  </si>
  <si>
    <t>Questions, visit decisions, tests, referrals, and follow-up.</t>
  </si>
  <si>
    <t>Care Access</t>
  </si>
  <si>
    <t>Prior authorization, denial, cost, coverage, scheduling, referral, and other barriers.</t>
  </si>
  <si>
    <t>Diagnostic Journey</t>
  </si>
  <si>
    <t>Track conditions or clinical questions discussed across providers and time.</t>
  </si>
  <si>
    <t>Field</t>
  </si>
  <si>
    <t>Your information</t>
  </si>
  <si>
    <t>Tracking goals</t>
  </si>
  <si>
    <t>Name / alias (optional)</t>
  </si>
  <si>
    <t>Jordan Sample (fictional)</t>
  </si>
  <si>
    <t>Goal</t>
  </si>
  <si>
    <t>Use?</t>
  </si>
  <si>
    <t>Notes</t>
  </si>
  <si>
    <t>Tracking start date</t>
  </si>
  <si>
    <t>Identify symptom patterns</t>
  </si>
  <si>
    <t>Yes</t>
  </si>
  <si>
    <t>Compare daily burden with sleep, sun, stress, and treatment timing</t>
  </si>
  <si>
    <t>Current status</t>
  </si>
  <si>
    <t>Established diagnosis</t>
  </si>
  <si>
    <t>Document a flare</t>
  </si>
  <si>
    <t>Capture a flare episode from start through recovery</t>
  </si>
  <si>
    <t>Primary diagnosis / suspected condition</t>
  </si>
  <si>
    <t>Systemic autoimmune / inflammatory condition (sample)</t>
  </si>
  <si>
    <t>Track response to treatment</t>
  </si>
  <si>
    <t>Compare symptoms before and after treatment</t>
  </si>
  <si>
    <t>Other diagnoses / suspected conditions</t>
  </si>
  <si>
    <t>Possible inflammatory arthritis; migraine history</t>
  </si>
  <si>
    <t>Track side effects</t>
  </si>
  <si>
    <t>Record possible medication side effects separately from disease symptoms</t>
  </si>
  <si>
    <t>Main care team / specialties</t>
  </si>
  <si>
    <t>Primary care; rheumatology; dermatology</t>
  </si>
  <si>
    <t>Track symptoms while untreated/unmedicated</t>
  </si>
  <si>
    <t>No</t>
  </si>
  <si>
    <t>Not the main goal in this fictional example</t>
  </si>
  <si>
    <t>Main reason for tracking</t>
  </si>
  <si>
    <t>Understand flare patterns and treatment response</t>
  </si>
  <si>
    <t>Prepare for diagnosis or specialist evaluation</t>
  </si>
  <si>
    <t>Diagnosis is already established in this sample</t>
  </si>
  <si>
    <t>What a typical/baseline day looks like</t>
  </si>
  <si>
    <t>Pain 2–3, fatigue 3–4, generally able to work and do normal activities</t>
  </si>
  <si>
    <t>Track AIP / food reintroduction</t>
  </si>
  <si>
    <t>Demonstrate an AIP-style food reintroduction log</t>
  </si>
  <si>
    <t>How I define a flare</t>
  </si>
  <si>
    <t>A sustained increase in several symptoms that reduces normal function for more than a day</t>
  </si>
  <si>
    <t>Track lifestyle or environmental triggers</t>
  </si>
  <si>
    <t>Track sleep, UV, activity, and infection context</t>
  </si>
  <si>
    <t>How I define remission / low activity / 'doing well'</t>
  </si>
  <si>
    <t>Symptoms mostly 0–3 with normal daily function</t>
  </si>
  <si>
    <t>Document insurance/cost/access barriers</t>
  </si>
  <si>
    <t>Show how access delays can be documented</t>
  </si>
  <si>
    <t>Top 3 symptoms I most want to understand</t>
  </si>
  <si>
    <t>Fatigue; joint pain; brain fog</t>
  </si>
  <si>
    <t>Prepare for appointments</t>
  </si>
  <si>
    <t>Prepare a concise trend summary for a follow-up visit</t>
  </si>
  <si>
    <t>Current treatment context</t>
  </si>
  <si>
    <t>Maintenance medication active; infusion delayed by insurance review during sample period</t>
  </si>
  <si>
    <t>Monitor remission / lower activity</t>
  </si>
  <si>
    <t>Known care-access barriers</t>
  </si>
  <si>
    <t>Prior authorization delays for infusion</t>
  </si>
  <si>
    <t>Important allergies / intolerances / contraindications</t>
  </si>
  <si>
    <t>Sulfa allergy (sample only)</t>
  </si>
  <si>
    <t>Customize Your Tracker</t>
  </si>
  <si>
    <t>Use these examples as a starting point. Add, rename, or delete symptoms and categories so the tracker reflects what you want to follow.</t>
  </si>
  <si>
    <t>Symptom / experience</t>
  </si>
  <si>
    <t>Category</t>
  </si>
  <si>
    <t>Track regularly?</t>
  </si>
  <si>
    <t>Personal notes / what it means for me</t>
  </si>
  <si>
    <t>Dropdown choices</t>
  </si>
  <si>
    <t>Where to edit</t>
  </si>
  <si>
    <t>How it works</t>
  </si>
  <si>
    <t>Fatigue / exhaustion</t>
  </si>
  <si>
    <t>General / systemic</t>
  </si>
  <si>
    <t>All workbook dropdowns</t>
  </si>
  <si>
    <t>Replace a blank row in the matching list table with your own option.</t>
  </si>
  <si>
    <t>Post-exertional worsening</t>
  </si>
  <si>
    <t>0–10 Scale</t>
  </si>
  <si>
    <t>Keep these entries numeric if you want Dashboard averages to calculate.</t>
  </si>
  <si>
    <t>Malaise / flu-like feeling</t>
  </si>
  <si>
    <t>Theme colors</t>
  </si>
  <si>
    <t>Page Layout → Themes / Colors</t>
  </si>
  <si>
    <t>Choose any Excel theme or color set to personalize the workbook.</t>
  </si>
  <si>
    <t>Low-grade fever / feeling feverish</t>
  </si>
  <si>
    <t>Chills</t>
  </si>
  <si>
    <t>Night sweats</t>
  </si>
  <si>
    <t>Unintentional weight change</t>
  </si>
  <si>
    <t>Joint pain</t>
  </si>
  <si>
    <t>Musculoskeletal</t>
  </si>
  <si>
    <t>Morning stiffness</t>
  </si>
  <si>
    <t>Joint swelling</t>
  </si>
  <si>
    <t>Muscle pain</t>
  </si>
  <si>
    <t>Muscle weakness</t>
  </si>
  <si>
    <t>Tendon / enthesis pain</t>
  </si>
  <si>
    <t>Back / neck pain</t>
  </si>
  <si>
    <t>Reduced grip strength</t>
  </si>
  <si>
    <t>Brain fog</t>
  </si>
  <si>
    <t>Neurologic / cognitive</t>
  </si>
  <si>
    <t>Trouble concentrating</t>
  </si>
  <si>
    <t>Memory problems</t>
  </si>
  <si>
    <t>Headache</t>
  </si>
  <si>
    <t>Migraine</t>
  </si>
  <si>
    <t>Dizziness / lightheadedness</t>
  </si>
  <si>
    <t>Balance problems</t>
  </si>
  <si>
    <t>Numbness / tingling</t>
  </si>
  <si>
    <t>Burning / nerve pain</t>
  </si>
  <si>
    <t>Tremor</t>
  </si>
  <si>
    <t>Sound / light sensitivity</t>
  </si>
  <si>
    <t>Rash</t>
  </si>
  <si>
    <t>Skin / hair / mucosal</t>
  </si>
  <si>
    <t>Photosensitivity / sun reaction</t>
  </si>
  <si>
    <t>Hives</t>
  </si>
  <si>
    <t>Itching</t>
  </si>
  <si>
    <t>Dry / cracking skin</t>
  </si>
  <si>
    <t>Facial redness / flushing</t>
  </si>
  <si>
    <t>Scalp lesions / irritation</t>
  </si>
  <si>
    <t>Hair thinning / hair loss</t>
  </si>
  <si>
    <t>Mouth sores / ulcers</t>
  </si>
  <si>
    <t>Nasal sores / ulcers</t>
  </si>
  <si>
    <t>Raynaud-type color change / cold fingers or toes</t>
  </si>
  <si>
    <t>Circulation / autonomic</t>
  </si>
  <si>
    <t>Swelling / edema</t>
  </si>
  <si>
    <t>Palpitations</t>
  </si>
  <si>
    <t>Cardiac / respiratory</t>
  </si>
  <si>
    <t>Chest discomfort</t>
  </si>
  <si>
    <t>Shortness of breath</t>
  </si>
  <si>
    <t>Persistent cough</t>
  </si>
  <si>
    <t>Exercise intolerance</t>
  </si>
  <si>
    <t>Dry eyes</t>
  </si>
  <si>
    <t>Eyes / mouth / ENT</t>
  </si>
  <si>
    <t>Gritty / burning eyes</t>
  </si>
  <si>
    <t>Eye pain / redness</t>
  </si>
  <si>
    <t>Vision change</t>
  </si>
  <si>
    <t>Dry mouth</t>
  </si>
  <si>
    <t>Dental / mouth problems</t>
  </si>
  <si>
    <t>Swallowing difficulty</t>
  </si>
  <si>
    <t>Hoarseness / throat irritation</t>
  </si>
  <si>
    <t>Abdominal pain</t>
  </si>
  <si>
    <t>Gastrointestinal</t>
  </si>
  <si>
    <t>Cramping</t>
  </si>
  <si>
    <t>Bloating</t>
  </si>
  <si>
    <t>Diarrhea</t>
  </si>
  <si>
    <t>Constipation</t>
  </si>
  <si>
    <t>Urgency</t>
  </si>
  <si>
    <t>Nausea</t>
  </si>
  <si>
    <t>Vomiting</t>
  </si>
  <si>
    <t>Reflux / heartburn</t>
  </si>
  <si>
    <t>Blood or mucus in stool</t>
  </si>
  <si>
    <t>Appetite change</t>
  </si>
  <si>
    <t>Foamy urine</t>
  </si>
  <si>
    <t>Urinary / renal</t>
  </si>
  <si>
    <t>Blood in urine</t>
  </si>
  <si>
    <t>Urinary frequency / urgency</t>
  </si>
  <si>
    <t>Flank / kidney-area discomfort</t>
  </si>
  <si>
    <t>Heat intolerance</t>
  </si>
  <si>
    <t>Temperature / autonomic</t>
  </si>
  <si>
    <t>Cold intolerance</t>
  </si>
  <si>
    <t>Sweating change</t>
  </si>
  <si>
    <t>Orthostatic / standing symptoms</t>
  </si>
  <si>
    <t>Unrefreshing sleep</t>
  </si>
  <si>
    <t>Sleep</t>
  </si>
  <si>
    <t>Insomnia</t>
  </si>
  <si>
    <t>Excessive sleepiness</t>
  </si>
  <si>
    <t>Restless sleep</t>
  </si>
  <si>
    <t>Anxiety / internal agitation</t>
  </si>
  <si>
    <t>Mood / nervous system</t>
  </si>
  <si>
    <t>Low mood</t>
  </si>
  <si>
    <t>Irritability</t>
  </si>
  <si>
    <t>Menstrual / hormonal symptom change</t>
  </si>
  <si>
    <t>Hormonal / reproductive</t>
  </si>
  <si>
    <t>Pelvic pain</t>
  </si>
  <si>
    <t>Medication-related nausea</t>
  </si>
  <si>
    <t>Treatment side effect</t>
  </si>
  <si>
    <t>Infusion / injection reaction</t>
  </si>
  <si>
    <t>New infection symptoms</t>
  </si>
  <si>
    <t>Treatment side effect / infection</t>
  </si>
  <si>
    <t>Other / custom</t>
  </si>
  <si>
    <t>Custom</t>
  </si>
  <si>
    <t>One row per day. The goal is consistency, not perfection. Leave anything blank that makes tracking too burdensome. Use Symptom Log when a symptom needs more detail.</t>
  </si>
  <si>
    <t>Date</t>
  </si>
  <si>
    <t>Day Type</t>
  </si>
  <si>
    <t>Overall Symptom Burden 0–10</t>
  </si>
  <si>
    <t>Pain 0–10</t>
  </si>
  <si>
    <t>Fatigue 0–10</t>
  </si>
  <si>
    <t>Energy 0–10</t>
  </si>
  <si>
    <t>Brain Fog 0–10</t>
  </si>
  <si>
    <t>Sleep Hours</t>
  </si>
  <si>
    <t>Sleep Quality 0–10</t>
  </si>
  <si>
    <t>Function 0–10</t>
  </si>
  <si>
    <t>Stress 0–10</t>
  </si>
  <si>
    <t>GI Impact 0–10</t>
  </si>
  <si>
    <t>Skin / Mucosal 0–10</t>
  </si>
  <si>
    <t>Joint / Muscle 0–10</t>
  </si>
  <si>
    <t>Dryness 0–10</t>
  </si>
  <si>
    <t>Temp / Autonomic 0–10</t>
  </si>
  <si>
    <t>Ill / Infection?</t>
  </si>
  <si>
    <t>Hormonal / Cycle Context</t>
  </si>
  <si>
    <t>New / Unusual Symptom?</t>
  </si>
  <si>
    <t>Treatment Taken as Planned?</t>
  </si>
  <si>
    <t>AIP Phase</t>
  </si>
  <si>
    <t>Typical</t>
  </si>
  <si>
    <t>Elimination</t>
  </si>
  <si>
    <t>Long outdoor afternoon; more sun exposure than usual.</t>
  </si>
  <si>
    <t>Unsure</t>
  </si>
  <si>
    <t>Flare</t>
  </si>
  <si>
    <t>Flare began with marked fatigue, joint pain, rash, and brain fog.</t>
  </si>
  <si>
    <t>Partly</t>
  </si>
  <si>
    <t>Cycle week / hormonal change noted</t>
  </si>
  <si>
    <t>Infusion delayed while prior authorization was pending.</t>
  </si>
  <si>
    <t>Symptoms beginning to ease; pacing and extra rest helped.</t>
  </si>
  <si>
    <t>Recovery</t>
  </si>
  <si>
    <t>Reintroduction</t>
  </si>
  <si>
    <t>Close to baseline; resumed light activity.</t>
  </si>
  <si>
    <t>Better than usual</t>
  </si>
  <si>
    <t>Reintroduced one food; monitored for change.</t>
  </si>
  <si>
    <t>No clear symptom increase after reintroduction.</t>
  </si>
  <si>
    <t>Personalized / maintenance</t>
  </si>
  <si>
    <t>Use this for unlimited symptom-level detail: new, unusual, severe, changing, intermittent, or treatment-related symptoms. One row per symptom event.</t>
  </si>
  <si>
    <t>Time</t>
  </si>
  <si>
    <t>Symptom</t>
  </si>
  <si>
    <t>Severity 0–10</t>
  </si>
  <si>
    <t>Interference 0–10</t>
  </si>
  <si>
    <t>Duration / Pattern</t>
  </si>
  <si>
    <t>Change</t>
  </si>
  <si>
    <t>Body Location</t>
  </si>
  <si>
    <t>Onset / Timing</t>
  </si>
  <si>
    <t>Possible Trigger / Context</t>
  </si>
  <si>
    <t>Action / Treatment</t>
  </si>
  <si>
    <t>Response / What Helped</t>
  </si>
  <si>
    <t>New Symptom?</t>
  </si>
  <si>
    <t>Follow-Up Needed?</t>
  </si>
  <si>
    <t>18:30</t>
  </si>
  <si>
    <t>Facial redness / rash</t>
  </si>
  <si>
    <t>Skin</t>
  </si>
  <si>
    <t>Several hours</t>
  </si>
  <si>
    <t>Worse</t>
  </si>
  <si>
    <t>Face</t>
  </si>
  <si>
    <t>After outdoor activity</t>
  </si>
  <si>
    <t>UV / sun</t>
  </si>
  <si>
    <t>Cool shower; shade; rest</t>
  </si>
  <si>
    <t>Improved by evening</t>
  </si>
  <si>
    <t>Noted before flare escalation</t>
  </si>
  <si>
    <t>08:00</t>
  </si>
  <si>
    <t>Joint pain and stiffness</t>
  </si>
  <si>
    <t>Joint / muscle</t>
  </si>
  <si>
    <t>All day</t>
  </si>
  <si>
    <t>Hands, knees</t>
  </si>
  <si>
    <t>On waking</t>
  </si>
  <si>
    <t>Poor sleep; flare onset</t>
  </si>
  <si>
    <t>Heat; pacing; prescribed medication</t>
  </si>
  <si>
    <t>Partial relief</t>
  </si>
  <si>
    <t>Interfered with normal morning routine</t>
  </si>
  <si>
    <t>10:00</t>
  </si>
  <si>
    <t>Most of day</t>
  </si>
  <si>
    <t>During work tasks</t>
  </si>
  <si>
    <t>Flare onset</t>
  </si>
  <si>
    <t>Reduced task load; breaks</t>
  </si>
  <si>
    <t>Some improvement with rest</t>
  </si>
  <si>
    <t>Difficulty finding words and concentrating</t>
  </si>
  <si>
    <t>07:30</t>
  </si>
  <si>
    <t>Fatigue</t>
  </si>
  <si>
    <t>Constitutional</t>
  </si>
  <si>
    <t>Whole body</t>
  </si>
  <si>
    <t>Rest; hydration; pacing</t>
  </si>
  <si>
    <t>Minimal same-day improvement</t>
  </si>
  <si>
    <t>Needed help with errands</t>
  </si>
  <si>
    <t>13:00</t>
  </si>
  <si>
    <t>Mouth sore</t>
  </si>
  <si>
    <t>Mucosal</t>
  </si>
  <si>
    <t>2 days</t>
  </si>
  <si>
    <t>New</t>
  </si>
  <si>
    <t>Inside lower lip</t>
  </si>
  <si>
    <t>During flare</t>
  </si>
  <si>
    <t>Unknown</t>
  </si>
  <si>
    <t>Symptom care</t>
  </si>
  <si>
    <t>Resolved over 48 hours</t>
  </si>
  <si>
    <t>First one this month</t>
  </si>
  <si>
    <t>09:00</t>
  </si>
  <si>
    <t>Same</t>
  </si>
  <si>
    <t>Hands, knees, ankles</t>
  </si>
  <si>
    <t>Morning</t>
  </si>
  <si>
    <t>Infusion delayed</t>
  </si>
  <si>
    <t>Heat; pacing</t>
  </si>
  <si>
    <t>Peak joint symptom day</t>
  </si>
  <si>
    <t>15:00</t>
  </si>
  <si>
    <t>4 hours</t>
  </si>
  <si>
    <t>Head</t>
  </si>
  <si>
    <t>Afternoon</t>
  </si>
  <si>
    <t>Poor sleep; flare</t>
  </si>
  <si>
    <t>Dark room; fluids</t>
  </si>
  <si>
    <t>Resolved by evening</t>
  </si>
  <si>
    <t>No neurologic red flags in sample entry</t>
  </si>
  <si>
    <t>Better</t>
  </si>
  <si>
    <t>Recovery beginning</t>
  </si>
  <si>
    <t>Rest; pacing</t>
  </si>
  <si>
    <t>Gradually improved</t>
  </si>
  <si>
    <t>Lower than peak</t>
  </si>
  <si>
    <t>12:00</t>
  </si>
  <si>
    <t>Intermittent</t>
  </si>
  <si>
    <t>Hands</t>
  </si>
  <si>
    <t>Midday</t>
  </si>
  <si>
    <t>Usual care</t>
  </si>
  <si>
    <t>Improved</t>
  </si>
  <si>
    <t>Approaching baseline</t>
  </si>
  <si>
    <t>19:00</t>
  </si>
  <si>
    <t>GI</t>
  </si>
  <si>
    <t>3 hours</t>
  </si>
  <si>
    <t>Abdomen</t>
  </si>
  <si>
    <t>After food reintroduction</t>
  </si>
  <si>
    <t>Food</t>
  </si>
  <si>
    <t>Observed only</t>
  </si>
  <si>
    <t>Resolved without action</t>
  </si>
  <si>
    <t>Possible reaction; not conclusive</t>
  </si>
  <si>
    <t>Track distinct flare episodes using your own definition from Profile &amp; Goals.</t>
  </si>
  <si>
    <t>Flare Start</t>
  </si>
  <si>
    <t>Flare End</t>
  </si>
  <si>
    <t>Duration (days)</t>
  </si>
  <si>
    <t>Peak Severity 0–10</t>
  </si>
  <si>
    <t>Suspected Trigger / Context</t>
  </si>
  <si>
    <t>Main Symptoms / Systems</t>
  </si>
  <si>
    <t>Function Impact</t>
  </si>
  <si>
    <t>Work / School / Caregiving Impact</t>
  </si>
  <si>
    <t>Treatments / Actions</t>
  </si>
  <si>
    <t>Provider Contact / Care Sought</t>
  </si>
  <si>
    <t>Labs / Tests</t>
  </si>
  <si>
    <t>Outcome / Recovery</t>
  </si>
  <si>
    <t>Back to Baseline?</t>
  </si>
  <si>
    <t>Sun exposure + poor sleep; treatment delay may also have contributed</t>
  </si>
  <si>
    <t>Fatigue, joint pain, rash, brain fog, mouth sore</t>
  </si>
  <si>
    <t>Reduced ability to complete usual tasks</t>
  </si>
  <si>
    <t>Missed one social commitment; shortened work blocks</t>
  </si>
  <si>
    <t>Pacing, rest, usual medications; provider message</t>
  </si>
  <si>
    <t>Message sent to rheumatology 9/21</t>
  </si>
  <si>
    <t>CBC, CMP, inflammatory markers ordered</t>
  </si>
  <si>
    <t>Gradual improvement over ~10 days</t>
  </si>
  <si>
    <t>Fictional example episode used to demonstrate cross-sheet tracking</t>
  </si>
  <si>
    <t>Treatment Plan</t>
  </si>
  <si>
    <t>Track prescribed and non-prescribed interventions in one place, including treatments that are paused, stopped, planned, or currently difficult to access.</t>
  </si>
  <si>
    <t>Treatment / Intervention</t>
  </si>
  <si>
    <t>Type</t>
  </si>
  <si>
    <t>Status</t>
  </si>
  <si>
    <t>Goal / Indication</t>
  </si>
  <si>
    <t>Prescriber / Source</t>
  </si>
  <si>
    <t>Dose / Strength</t>
  </si>
  <si>
    <t>Route</t>
  </si>
  <si>
    <t>Frequency / Schedule</t>
  </si>
  <si>
    <t>Start Date</t>
  </si>
  <si>
    <t>Last Taken / Given</t>
  </si>
  <si>
    <t>Typical Interval (days)</t>
  </si>
  <si>
    <t>Next Expected</t>
  </si>
  <si>
    <t>End Date</t>
  </si>
  <si>
    <t>Reason Paused / Stopped / Not Started</t>
  </si>
  <si>
    <t>Access Barrier?</t>
  </si>
  <si>
    <t>Cost / Coverage Notes</t>
  </si>
  <si>
    <t>Perceived Benefit 0–10</t>
  </si>
  <si>
    <t>Side Effect / Burden 0–10</t>
  </si>
  <si>
    <t>Example maintenance medication</t>
  </si>
  <si>
    <t>Medication</t>
  </si>
  <si>
    <t>Active</t>
  </si>
  <si>
    <t>Baseline symptom control</t>
  </si>
  <si>
    <t>Rheumatology</t>
  </si>
  <si>
    <t>200 mg</t>
  </si>
  <si>
    <t>Oral</t>
  </si>
  <si>
    <t>Daily</t>
  </si>
  <si>
    <t>Fictional medication entry; name intentionally generic</t>
  </si>
  <si>
    <t>Example biologic infusion</t>
  </si>
  <si>
    <t>Infusion</t>
  </si>
  <si>
    <t>Reduce inflammatory disease activity</t>
  </si>
  <si>
    <t>Example dose</t>
  </si>
  <si>
    <t>IV</t>
  </si>
  <si>
    <t>Every 56 days</t>
  </si>
  <si>
    <t>Prior authorization delayed scheduled dose by several days</t>
  </si>
  <si>
    <t>Fictional infusion used to demonstrate access + timing tracking</t>
  </si>
  <si>
    <t>Vitamin D</t>
  </si>
  <si>
    <t>Supplement</t>
  </si>
  <si>
    <t>Supplement per prior lab discussion</t>
  </si>
  <si>
    <t>Primary care</t>
  </si>
  <si>
    <t>1000 IU</t>
  </si>
  <si>
    <t>Sample supplement</t>
  </si>
  <si>
    <t>AIP-style elimination / reintroduction</t>
  </si>
  <si>
    <t>Nutrition / AIP</t>
  </si>
  <si>
    <t>Observe food tolerance patterns</t>
  </si>
  <si>
    <t>Self-directed</t>
  </si>
  <si>
    <t>N/A</t>
  </si>
  <si>
    <t>Food plan</t>
  </si>
  <si>
    <t>Demonstration only; tracks observations rather than proving causation</t>
  </si>
  <si>
    <t>Record what actually happened: taken/given, missed, held, changed, delayed, started, or stopped. This makes timing, response, and side effects easier to compare.</t>
  </si>
  <si>
    <t>Event Type</t>
  </si>
  <si>
    <t>Dose / Details</t>
  </si>
  <si>
    <t>Taken / Given as Planned?</t>
  </si>
  <si>
    <t>Reason if Missed / Held / Delayed</t>
  </si>
  <si>
    <t>Immediate Side Effects</t>
  </si>
  <si>
    <t>Side Effect Severity 0–10</t>
  </si>
  <si>
    <t>0–24h Response</t>
  </si>
  <si>
    <t>24–72h Response</t>
  </si>
  <si>
    <t>Access Issue?</t>
  </si>
  <si>
    <t>Taken / given</t>
  </si>
  <si>
    <t>Usual dose</t>
  </si>
  <si>
    <t>None</t>
  </si>
  <si>
    <t>No immediate change</t>
  </si>
  <si>
    <t>Baseline stable</t>
  </si>
  <si>
    <t>Routine dose</t>
  </si>
  <si>
    <t>Delayed</t>
  </si>
  <si>
    <t>Scheduled infusion not given</t>
  </si>
  <si>
    <t>Prior authorization pending</t>
  </si>
  <si>
    <t>Flare remained active</t>
  </si>
  <si>
    <t>Symptoms still elevated</t>
  </si>
  <si>
    <t>Expected infusion date; unable to receive treatment</t>
  </si>
  <si>
    <t>Rescheduled</t>
  </si>
  <si>
    <t>Authorization still pending</t>
  </si>
  <si>
    <t>Symptoms slowly improving</t>
  </si>
  <si>
    <t>Second delay</t>
  </si>
  <si>
    <t>11:00</t>
  </si>
  <si>
    <t>Infusion completed</t>
  </si>
  <si>
    <t>Mild fatigue afterward</t>
  </si>
  <si>
    <t>Rested after infusion</t>
  </si>
  <si>
    <t>Fatigue improved over next several days</t>
  </si>
  <si>
    <t>Authorization approved</t>
  </si>
  <si>
    <t>Stable</t>
  </si>
  <si>
    <t>Routine</t>
  </si>
  <si>
    <t>None expected</t>
  </si>
  <si>
    <t>Use this to track AIP or another nutrition approach, including phases, meals, reintroductions, reactions, and changes over time.</t>
  </si>
  <si>
    <t>Entry Type</t>
  </si>
  <si>
    <t>Food / Ingredient / Meal</t>
  </si>
  <si>
    <t>Food Group</t>
  </si>
  <si>
    <t>Reintroduction Stage / Details</t>
  </si>
  <si>
    <t>New or Reintroduced?</t>
  </si>
  <si>
    <t>Symptoms Before 0–10</t>
  </si>
  <si>
    <t>Peak Symptoms After 0–10</t>
  </si>
  <si>
    <t>Time to Change</t>
  </si>
  <si>
    <t>Reaction / Change Type</t>
  </si>
  <si>
    <t>Result</t>
  </si>
  <si>
    <t>Decision / Next Step</t>
  </si>
  <si>
    <t>Plan change</t>
  </si>
  <si>
    <t>Begin simplified elimination phase</t>
  </si>
  <si>
    <t>Overall plan</t>
  </si>
  <si>
    <t>Baseline period</t>
  </si>
  <si>
    <t>Not a test</t>
  </si>
  <si>
    <t>Track baseline for 2+ weeks</t>
  </si>
  <si>
    <t>Started sample tracking period</t>
  </si>
  <si>
    <t>Meal / food</t>
  </si>
  <si>
    <t>Chicken, sweet potato, greens</t>
  </si>
  <si>
    <t>Mixed meal</t>
  </si>
  <si>
    <t>12:30</t>
  </si>
  <si>
    <t>Continue</t>
  </si>
  <si>
    <t>No obvious food-related change</t>
  </si>
  <si>
    <t>Salmon, squash, greens</t>
  </si>
  <si>
    <t>18:00</t>
  </si>
  <si>
    <t>Flare already improving</t>
  </si>
  <si>
    <t>Reintroduction test</t>
  </si>
  <si>
    <t>Egg yolk</t>
  </si>
  <si>
    <t>Egg</t>
  </si>
  <si>
    <t>Small portion, day 1</t>
  </si>
  <si>
    <t>24h</t>
  </si>
  <si>
    <t>Neutral / no clear change</t>
  </si>
  <si>
    <t>Tolerated</t>
  </si>
  <si>
    <t>Repeat per personal plan</t>
  </si>
  <si>
    <t>No obvious change</t>
  </si>
  <si>
    <t>Whole egg</t>
  </si>
  <si>
    <t>Larger portion, day 2</t>
  </si>
  <si>
    <t>10h</t>
  </si>
  <si>
    <t>GI symptoms</t>
  </si>
  <si>
    <t>Possible reaction</t>
  </si>
  <si>
    <t>Pause and observe</t>
  </si>
  <si>
    <t>Mild evening bloating</t>
  </si>
  <si>
    <t>Reaction / symptom note</t>
  </si>
  <si>
    <t>No egg</t>
  </si>
  <si>
    <t>Observation day</t>
  </si>
  <si>
    <t>Inconclusive</t>
  </si>
  <si>
    <t>Wait before deciding</t>
  </si>
  <si>
    <t>Symptoms resolved</t>
  </si>
  <si>
    <t>Return to tolerated foods</t>
  </si>
  <si>
    <t>After observation period</t>
  </si>
  <si>
    <t>Document egg as uncertain for now</t>
  </si>
  <si>
    <t>Shows how a user can record an inconclusive result</t>
  </si>
  <si>
    <t>Lifestyle &amp; Trigger Log</t>
  </si>
  <si>
    <t>Log notable exposures or protective factors—not every minute of every day. Think sleep loss, unusual stress, UV/sun, heat/cold, infection, activity, travel, allergens, hormonal changes, weather, pacing/rest, or anything else that might matter.</t>
  </si>
  <si>
    <t>Factor / Exposure</t>
  </si>
  <si>
    <t>Intensity / Amount 0–10</t>
  </si>
  <si>
    <t>Duration / Timing</t>
  </si>
  <si>
    <t>Protective Action / What I Did</t>
  </si>
  <si>
    <t>Symptom Impact 0–10</t>
  </si>
  <si>
    <t>Delay to Impact</t>
  </si>
  <si>
    <t>Helped / Worsened / Neutral</t>
  </si>
  <si>
    <t>Short sleep</t>
  </si>
  <si>
    <t>~6 hours sleep</t>
  </si>
  <si>
    <t>Earlier bedtime next night</t>
  </si>
  <si>
    <t>Next day</t>
  </si>
  <si>
    <t>Worsened</t>
  </si>
  <si>
    <t>Fatigue and brain fog increased</t>
  </si>
  <si>
    <t>High work stress</t>
  </si>
  <si>
    <t>Stress</t>
  </si>
  <si>
    <t>Breaks and reduced evening plans</t>
  </si>
  <si>
    <t>Same day</t>
  </si>
  <si>
    <t>Muscle tension and fatigue</t>
  </si>
  <si>
    <t>Outdoor sun exposure</t>
  </si>
  <si>
    <t>~2 hours</t>
  </si>
  <si>
    <t>Hat, sunscreen, shade part of time</t>
  </si>
  <si>
    <t>Hours</t>
  </si>
  <si>
    <t>Rash and fatigue rose that evening</t>
  </si>
  <si>
    <t>Extra rest / pacing</t>
  </si>
  <si>
    <t>Rest / pacing</t>
  </si>
  <si>
    <t>Cancelled nonessential activity</t>
  </si>
  <si>
    <t>Helped</t>
  </si>
  <si>
    <t>Did not end flare but reduced overload</t>
  </si>
  <si>
    <t>Poor sleep</t>
  </si>
  <si>
    <t>~4 hours sleep</t>
  </si>
  <si>
    <t>Nap; low-stimulation evening</t>
  </si>
  <si>
    <t>Headache and fatigue higher</t>
  </si>
  <si>
    <t>Gentle walk</t>
  </si>
  <si>
    <t>Activity</t>
  </si>
  <si>
    <t>20 minutes</t>
  </si>
  <si>
    <t>Stopped before fatigue increased</t>
  </si>
  <si>
    <t>Tolerated during recovery</t>
  </si>
  <si>
    <t>Consistent sleep</t>
  </si>
  <si>
    <t>7.5 hours</t>
  </si>
  <si>
    <t>Kept regular bedtime</t>
  </si>
  <si>
    <t>Energy and function improved</t>
  </si>
  <si>
    <t>Cold morning</t>
  </si>
  <si>
    <t>Cold</t>
  </si>
  <si>
    <t>~1 hour</t>
  </si>
  <si>
    <t>Warm layers</t>
  </si>
  <si>
    <t>During exposure</t>
  </si>
  <si>
    <t>No sustained symptom change</t>
  </si>
  <si>
    <t>Enter the reference range shown on the same lab report. Auto Flag compares numeric results with the low and high values you enter.</t>
  </si>
  <si>
    <t>Test</t>
  </si>
  <si>
    <t>Units</t>
  </si>
  <si>
    <t>Reference Low</t>
  </si>
  <si>
    <t>Reference High</t>
  </si>
  <si>
    <t>Auto Flag</t>
  </si>
  <si>
    <t>Ordering Provider</t>
  </si>
  <si>
    <t>Lab / Facility</t>
  </si>
  <si>
    <t>Related Flare / Context</t>
  </si>
  <si>
    <t>WBC</t>
  </si>
  <si>
    <t>x10^3/uL</t>
  </si>
  <si>
    <t>Example Lab</t>
  </si>
  <si>
    <t>Sample numeric lab to demonstrate auto flag</t>
  </si>
  <si>
    <t>Hemoglobin</t>
  </si>
  <si>
    <t>g/dL</t>
  </si>
  <si>
    <t>Platelets</t>
  </si>
  <si>
    <t>Creatinine</t>
  </si>
  <si>
    <t>mg/dL</t>
  </si>
  <si>
    <t>ALT</t>
  </si>
  <si>
    <t>U/L</t>
  </si>
  <si>
    <t>CRP</t>
  </si>
  <si>
    <t>Sample elevated result</t>
  </si>
  <si>
    <t>Recovery / near baseline</t>
  </si>
  <si>
    <t>Repeat sample result</t>
  </si>
  <si>
    <t>Appointments &amp; Provider Conversations</t>
  </si>
  <si>
    <t>Use before and after a visit. Bring questions and patterns in; capture decisions and next steps on the way out.</t>
  </si>
  <si>
    <t>Provider</t>
  </si>
  <si>
    <t>Specialty</t>
  </si>
  <si>
    <t>Visit Type</t>
  </si>
  <si>
    <t>Main Goal</t>
  </si>
  <si>
    <t>Questions I Want Answered</t>
  </si>
  <si>
    <t>Key Symptoms / Changes to Discuss</t>
  </si>
  <si>
    <t>Data / Records to Bring</t>
  </si>
  <si>
    <t>Decisions / Assessment</t>
  </si>
  <si>
    <t>Tests / Labs Ordered</t>
  </si>
  <si>
    <t>Referrals</t>
  </si>
  <si>
    <t>Treatment Changes</t>
  </si>
  <si>
    <t>Follow-Up / Next Step</t>
  </si>
  <si>
    <t>Next Appointment</t>
  </si>
  <si>
    <t>Rheumatology nurse</t>
  </si>
  <si>
    <t>Telehealth</t>
  </si>
  <si>
    <t>Report flare and treatment delay</t>
  </si>
  <si>
    <t>Should any labs be checked? What should I do if authorization is still pending?</t>
  </si>
  <si>
    <t>Fatigue, joint pain, rash, brain fog; infusion delayed</t>
  </si>
  <si>
    <t>Daily log; symptom entries; medication list</t>
  </si>
  <si>
    <t>Labs ordered; office to follow up on authorization</t>
  </si>
  <si>
    <t>CBC, CMP, CRP</t>
  </si>
  <si>
    <t>No change until physician review</t>
  </si>
  <si>
    <t>Complete labs; call if symptoms worsen</t>
  </si>
  <si>
    <t>Infusion center</t>
  </si>
  <si>
    <t>Infusion therapy</t>
  </si>
  <si>
    <t>Procedure / infusion</t>
  </si>
  <si>
    <t>Receive delayed infusion</t>
  </si>
  <si>
    <t>Confirm authorization and next expected date</t>
  </si>
  <si>
    <t>Current flare improving but not resolved</t>
  </si>
  <si>
    <t>Authorization approval; medication list</t>
  </si>
  <si>
    <t>Infusion given</t>
  </si>
  <si>
    <t>Track response over 72 hours</t>
  </si>
  <si>
    <t>Rheumatologist</t>
  </si>
  <si>
    <t>Follow-up</t>
  </si>
  <si>
    <t>Review flare pattern and recovery</t>
  </si>
  <si>
    <t>Did timing suggest any treatment wear-off? Any tests or plan changes?</t>
  </si>
  <si>
    <t>Trend chart; high-severity events; flare log; labs; access delay</t>
  </si>
  <si>
    <t>Dashboard; labs; flare log; care access notes</t>
  </si>
  <si>
    <t>Sample future visit — no outcome entered yet</t>
  </si>
  <si>
    <t>Bring tracker summary</t>
  </si>
  <si>
    <t>Care Access &amp; Insurance Barriers</t>
  </si>
  <si>
    <t>Document barriers that change your ability to receive care: prior authorization, denial, loss of coverage, cost, referral delays, waitlists, scheduling, transportation, pharmacy supply, or anything else.</t>
  </si>
  <si>
    <t>Item / Service</t>
  </si>
  <si>
    <t>Payer / Program / Provider</t>
  </si>
  <si>
    <t>Barrier / Reason Given</t>
  </si>
  <si>
    <t>Reference / Case / Authorization #</t>
  </si>
  <si>
    <t>Cost Quote / Patient Cost</t>
  </si>
  <si>
    <t>Action Taken</t>
  </si>
  <si>
    <t>Person / Office Contacted</t>
  </si>
  <si>
    <t>Next Step</t>
  </si>
  <si>
    <t>Next Follow-Up Date</t>
  </si>
  <si>
    <t>Outcome</t>
  </si>
  <si>
    <t>Infusion / injection</t>
  </si>
  <si>
    <t>Example Health Plan</t>
  </si>
  <si>
    <t>Renewal authorization required</t>
  </si>
  <si>
    <t>PA-EXAMPLE-001</t>
  </si>
  <si>
    <t>$0 if approved; high self-pay cost</t>
  </si>
  <si>
    <t>Clinic submitted authorization</t>
  </si>
  <si>
    <t>Rheumatology authorization team</t>
  </si>
  <si>
    <t>Wait for payer response</t>
  </si>
  <si>
    <t>Sample only — demonstrates how access timing can be tracked</t>
  </si>
  <si>
    <t>Additional records requested</t>
  </si>
  <si>
    <t>Clinic sent requested records</t>
  </si>
  <si>
    <t>Check status</t>
  </si>
  <si>
    <t>Scheduled dose delayed</t>
  </si>
  <si>
    <t>Approved</t>
  </si>
  <si>
    <t>Authorization completed</t>
  </si>
  <si>
    <t>$0</t>
  </si>
  <si>
    <t>Infusion rescheduled</t>
  </si>
  <si>
    <t>Attend rescheduled infusion</t>
  </si>
  <si>
    <t>Access issue resolved</t>
  </si>
  <si>
    <t>Rheumatology follow-up</t>
  </si>
  <si>
    <t>Specialist</t>
  </si>
  <si>
    <t>Scheduling</t>
  </si>
  <si>
    <t>Rheumatology clinic</t>
  </si>
  <si>
    <t>Next routine slot unavailable for several weeks</t>
  </si>
  <si>
    <t>Asked for cancellation list</t>
  </si>
  <si>
    <t>Scheduling office</t>
  </si>
  <si>
    <t>Watch for earlier opening</t>
  </si>
  <si>
    <t>Open scheduling issue included so dashboard shows a pending access item</t>
  </si>
  <si>
    <t>Use this when symptoms span time or multiple specialists. Record what was considered, what information was reviewed, conclusions, and next steps.</t>
  </si>
  <si>
    <t>Condition / Clinical Question</t>
  </si>
  <si>
    <t>Provider / Specialty</t>
  </si>
  <si>
    <t>Reason Discussed / Evidence</t>
  </si>
  <si>
    <t>Tests / Criteria / Records Reviewed</t>
  </si>
  <si>
    <t>Systemic autoimmune / inflammatory condition</t>
  </si>
  <si>
    <t>Suspected / under evaluation</t>
  </si>
  <si>
    <t>Fatigue, joint pain, intermittent rash across several months</t>
  </si>
  <si>
    <t>Initial labs; symptom history</t>
  </si>
  <si>
    <t>Refer to rheumatology</t>
  </si>
  <si>
    <t>Historical sample entry</t>
  </si>
  <si>
    <t>Diagnosed / confirmed</t>
  </si>
  <si>
    <t>Persistent multi-system symptoms plus clinical/lab assessment</t>
  </si>
  <si>
    <t>Specialist evaluation and prior records</t>
  </si>
  <si>
    <t>Begin treatment plan and monitoring</t>
  </si>
  <si>
    <t>Fictional example; not intended as diagnostic criteria</t>
  </si>
  <si>
    <t>Current flare: infection vs disease activity</t>
  </si>
  <si>
    <t>Patient question to raise</t>
  </si>
  <si>
    <t>Sudden symptom increase after sun exposure and poor sleep</t>
  </si>
  <si>
    <t>Symptoms, temperature, exposure history; labs ordered</t>
  </si>
  <si>
    <t>Review lab results and symptom course</t>
  </si>
  <si>
    <t>Shows how a clinical question can be tracked without self-diagnosing</t>
  </si>
  <si>
    <t>Treatment timing / breakthrough symptoms</t>
  </si>
  <si>
    <t>Monitoring</t>
  </si>
  <si>
    <t>Flare occurred near delayed infusion</t>
  </si>
  <si>
    <t>Dashboard trend, treatment events, care access timeline</t>
  </si>
  <si>
    <t>Discuss whether timing is meaningful</t>
  </si>
  <si>
    <t>Future sample appointment question</t>
  </si>
  <si>
    <t>30-Day Review Dashboard</t>
  </si>
  <si>
    <t>Change the dates below to review any time window. Dashboard cards and the trend chart update automatically as you add entries.</t>
  </si>
  <si>
    <t>Review window</t>
  </si>
  <si>
    <t>Overall Burden</t>
  </si>
  <si>
    <t>Pain</t>
  </si>
  <si>
    <t>DEMO VIEW: dates are fixed to the fictional sample period. Change Start Date or End Date to test another window.</t>
  </si>
  <si>
    <t>Snapshot</t>
  </si>
  <si>
    <t>Days Logged</t>
  </si>
  <si>
    <t>Flare Days</t>
  </si>
  <si>
    <t>Avg Symptom Burden</t>
  </si>
  <si>
    <t>High-Severity Symptom Entries</t>
  </si>
  <si>
    <t>Avg Pain</t>
  </si>
  <si>
    <t>Avg Fatigue</t>
  </si>
  <si>
    <t>Avg Energy</t>
  </si>
  <si>
    <t>Avg Function</t>
  </si>
  <si>
    <t>Flare Episodes Started</t>
  </si>
  <si>
    <t>Open/Pending Access Issues</t>
  </si>
  <si>
    <t>Lab Results Logged</t>
  </si>
  <si>
    <t>Questions to ask when reviewing your data</t>
  </si>
  <si>
    <t>• What changed before the flare or improvement—treatment timing, infection, sleep, stress, UV/temperature, activity, hormones, food, or access to care?</t>
  </si>
  <si>
    <t>• Are symptoms repeatedly affecting the same body systems, or are new systems appearing?</t>
  </si>
  <si>
    <t>• Does a treatment appear to help, wear off, create side effects, or become unavailable at a consistent time?</t>
  </si>
  <si>
    <t>• What deserves a provider conversation, objective testing, treatment discussion, or access follow-up?</t>
  </si>
  <si>
    <t>Customize Dropdown Lists</t>
  </si>
  <si>
    <t>Each dropdown has its own list table below. Type over a choice to rename it, or use one of the five blank rows at the bottom of a table to add your own option.</t>
  </si>
  <si>
    <t>The workbook dropdowns read from these tables automatically. For the 0–10 Scale, keep custom entries numeric if you want averages and charts to calculate.</t>
  </si>
  <si>
    <t>Diagnosis Status</t>
  </si>
  <si>
    <t>Yes / No</t>
  </si>
  <si>
    <t>Yes / No / Maybe</t>
  </si>
  <si>
    <t>Undiagnosed / investigating</t>
  </si>
  <si>
    <t>0</t>
  </si>
  <si>
    <t>Suspected autoimmune / inflammatory</t>
  </si>
  <si>
    <t>1</t>
  </si>
  <si>
    <t>Newly diagnosed</t>
  </si>
  <si>
    <t>Maybe</t>
  </si>
  <si>
    <t>2</t>
  </si>
  <si>
    <t>3</t>
  </si>
  <si>
    <t>Changing treatment</t>
  </si>
  <si>
    <t>4</t>
  </si>
  <si>
    <t>Monitoring without medication</t>
  </si>
  <si>
    <t>5</t>
  </si>
  <si>
    <t>Working toward remission / lower activity</t>
  </si>
  <si>
    <t>6</t>
  </si>
  <si>
    <t>Other</t>
  </si>
  <si>
    <t>7</t>
  </si>
  <si>
    <t>8</t>
  </si>
  <si>
    <t>9</t>
  </si>
  <si>
    <t>10</t>
  </si>
  <si>
    <t>Yes / No / Unsure</t>
  </si>
  <si>
    <t>Yes / No / Partly / N/A</t>
  </si>
  <si>
    <t>Not using AIP</t>
  </si>
  <si>
    <t>Preparing</t>
  </si>
  <si>
    <t>Not applicable</t>
  </si>
  <si>
    <t>Paused</t>
  </si>
  <si>
    <t>Symptom Change</t>
  </si>
  <si>
    <t>Back to Baseline</t>
  </si>
  <si>
    <t>Treatment Type</t>
  </si>
  <si>
    <t>Treatment Status</t>
  </si>
  <si>
    <t>Injection</t>
  </si>
  <si>
    <t>Stopped</t>
  </si>
  <si>
    <t>Prescribed - not started</t>
  </si>
  <si>
    <t>Resolved</t>
  </si>
  <si>
    <t>Therapy</t>
  </si>
  <si>
    <t>Prescribed - access barrier</t>
  </si>
  <si>
    <t>Comes and goes</t>
  </si>
  <si>
    <t>Device</t>
  </si>
  <si>
    <t>Considering / discussing</t>
  </si>
  <si>
    <t>Lifestyle</t>
  </si>
  <si>
    <t>Procedure</t>
  </si>
  <si>
    <t>Yes / No / Sometimes</t>
  </si>
  <si>
    <t>Treatment Event Type</t>
  </si>
  <si>
    <t>Nutrition Entry Type</t>
  </si>
  <si>
    <t>Yes / No / N/A</t>
  </si>
  <si>
    <t>Missed</t>
  </si>
  <si>
    <t>Sometimes</t>
  </si>
  <si>
    <t>Held</t>
  </si>
  <si>
    <t>Dose changed</t>
  </si>
  <si>
    <t>Supplement / beverage</t>
  </si>
  <si>
    <t>Started</t>
  </si>
  <si>
    <t>Nutrition Result</t>
  </si>
  <si>
    <t>Trigger Category</t>
  </si>
  <si>
    <t>Trigger Effect</t>
  </si>
  <si>
    <t>New patient</t>
  </si>
  <si>
    <t>Clear reaction</t>
  </si>
  <si>
    <t>Urgent / sick visit</t>
  </si>
  <si>
    <t>Heat</t>
  </si>
  <si>
    <t>Weather</t>
  </si>
  <si>
    <t>Infection</t>
  </si>
  <si>
    <t>Hormonal</t>
  </si>
  <si>
    <t>Allergen</t>
  </si>
  <si>
    <t>Travel</t>
  </si>
  <si>
    <t>Medication change</t>
  </si>
  <si>
    <t>Care Access Type</t>
  </si>
  <si>
    <t>Care Access Status</t>
  </si>
  <si>
    <t>Diagnostic Status</t>
  </si>
  <si>
    <t>Requested</t>
  </si>
  <si>
    <t>Lab</t>
  </si>
  <si>
    <t>Ruled out</t>
  </si>
  <si>
    <t>Imaging</t>
  </si>
  <si>
    <t>Denied</t>
  </si>
  <si>
    <t>Appeal pending</t>
  </si>
  <si>
    <t>Unclear / no conclusion</t>
  </si>
  <si>
    <t>Unaffordable</t>
  </si>
  <si>
    <t>Equipment</t>
  </si>
  <si>
    <t>Referral pending</t>
  </si>
  <si>
    <t>Insurance / coverage</t>
  </si>
  <si>
    <t>Waitlist</t>
  </si>
  <si>
    <t>Completed /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</si>
</sst>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9">
    <font>
      <sz val="11"/>
      <name val="Carlito"/>
    </font>
    <font>
      <b/>
      <sz val="18"/>
      <color rgb="FFFFFFFF"/>
      <name val="Carlito"/>
    </font>
    <font>
      <i/>
      <sz val="11"/>
      <color rgb="FFFFFFFF"/>
      <name val="Carlito"/>
    </font>
    <font>
      <b/>
      <sz val="11"/>
      <color rgb="FF243432"/>
      <name val="Carlito"/>
    </font>
    <font>
      <sz val="11"/>
      <color rgb="FF243432"/>
      <name val="Carlito"/>
    </font>
    <font>
      <b/>
      <sz val="11"/>
      <name val="Carlito"/>
    </font>
    <font>
      <i/>
      <sz val="11"/>
      <color rgb="FF5E6A68"/>
      <name val="Carlito"/>
    </font>
    <font>
      <b/>
      <sz val="16"/>
      <color rgb="FF244B49"/>
      <name val="Carlito"/>
    </font>
    <font>
      <b/>
      <sz val="18"/>
      <color theme="0"/>
      <name val="Carlito"/>
    </font>
    <font>
      <i/>
      <sz val="11"/>
      <color theme="0"/>
      <name val="Carlito"/>
    </font>
    <font>
      <b/>
      <sz val="11"/>
      <color theme="0"/>
      <name val="Carlito"/>
    </font>
    <font>
      <b/>
      <sz val="11"/>
      <color theme="1"/>
      <name val="Carlito"/>
    </font>
    <font>
      <sz val="11"/>
      <color theme="1"/>
      <name val="Carlito"/>
    </font>
    <font>
      <i/>
      <sz val="11"/>
      <color theme="3"/>
      <name val="Carlito"/>
    </font>
    <font>
      <sz val="11"/>
      <color theme="1"/>
      <name val="Carlito"/>
    </font>
    <font>
      <b/>
      <sz val="11"/>
      <color theme="0"/>
      <name val="Carlito"/>
    </font>
    <font>
      <i/>
      <sz val="11"/>
      <color theme="0"/>
      <name val="Carlito"/>
    </font>
    <font>
      <sz val="11"/>
      <color theme="1"/>
      <name val="Carlito"/>
    </font>
    <font>
      <sz val="11"/>
      <color theme="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244B49"/>
      </patternFill>
    </fill>
    <fill>
      <patternFill patternType="solid">
        <fgColor rgb="FF5F7F7A"/>
      </patternFill>
    </fill>
    <fill>
      <patternFill patternType="solid">
        <fgColor rgb="FFDCE9E6"/>
      </patternFill>
    </fill>
    <fill>
      <patternFill patternType="solid">
        <fgColor rgb="FFF7FBFA"/>
      </patternFill>
    </fill>
    <fill>
      <patternFill patternType="solid">
        <fgColor rgb="FFFFF5D9"/>
      </patternFill>
    </fill>
    <fill>
      <patternFill patternType="solid">
        <fgColor rgb="FFEEF1F2"/>
      </patternFill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theme="8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2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5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center"/>
    </xf>
    <xf numFmtId="164" fontId="4" fillId="5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18" fontId="4" fillId="5" borderId="0" xfId="0" applyNumberFormat="1" applyFont="1" applyFill="1" applyBorder="1" applyAlignment="1">
      <alignment vertical="top" wrapText="1"/>
    </xf>
    <xf numFmtId="0" fontId="4" fillId="7" borderId="0" xfId="0" applyNumberFormat="1" applyFont="1" applyFill="1" applyBorder="1" applyAlignment="1">
      <alignment vertical="top" wrapText="1"/>
    </xf>
    <xf numFmtId="164" fontId="4" fillId="7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/>
    <xf numFmtId="0" fontId="5" fillId="9" borderId="0" xfId="0" applyNumberFormat="1" applyFont="1" applyFill="1" applyBorder="1" applyAlignment="1">
      <alignment vertical="top" wrapText="1"/>
    </xf>
    <xf numFmtId="0" fontId="5" fillId="9" borderId="0" xfId="0" applyNumberFormat="1" applyFont="1" applyFill="1" applyBorder="1"/>
    <xf numFmtId="164" fontId="5" fillId="9" borderId="0" xfId="0" applyNumberFormat="1" applyFont="1" applyFill="1" applyBorder="1"/>
    <xf numFmtId="0" fontId="10" fillId="8" borderId="0" xfId="0" applyNumberFormat="1" applyFont="1" applyFill="1" applyBorder="1" applyAlignment="1">
      <alignment horizontal="center" vertical="center" wrapText="1"/>
    </xf>
    <xf numFmtId="0" fontId="12" fillId="10" borderId="0" xfId="0" applyNumberFormat="1" applyFont="1" applyFill="1" applyBorder="1" applyAlignment="1">
      <alignment vertical="top" wrapText="1"/>
    </xf>
    <xf numFmtId="164" fontId="12" fillId="9" borderId="0" xfId="0" applyNumberFormat="1" applyFont="1" applyFill="1" applyBorder="1" applyAlignment="1">
      <alignment vertical="top" wrapText="1"/>
    </xf>
    <xf numFmtId="0" fontId="10" fillId="11" borderId="0" xfId="0" applyNumberFormat="1" applyFont="1" applyFill="1" applyBorder="1" applyAlignment="1">
      <alignment vertical="center" wrapText="1"/>
    </xf>
    <xf numFmtId="0" fontId="15" fillId="13" borderId="0" xfId="0" applyNumberFormat="1" applyFont="1" applyFill="1" applyBorder="1" applyAlignment="1">
      <alignment horizontal="center" vertical="center" wrapText="1"/>
    </xf>
    <xf numFmtId="0" fontId="18" fillId="12" borderId="0" xfId="0" applyNumberFormat="1" applyFont="1" applyFill="1" applyBorder="1" applyAlignment="1">
      <alignment horizontal="left" vertical="center" wrapText="1"/>
    </xf>
    <xf numFmtId="0" fontId="18" fillId="15" borderId="0" xfId="0" applyNumberFormat="1" applyFont="1" applyFill="1" applyBorder="1" applyAlignment="1">
      <alignment horizontal="left" vertical="center" wrapText="1"/>
    </xf>
    <xf numFmtId="0" fontId="8" fillId="8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  <xf numFmtId="0" fontId="9" fillId="11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11" fillId="9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12" fillId="1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14" fillId="12" borderId="0" xfId="0" applyNumberFormat="1" applyFont="1" applyFill="1" applyBorder="1" applyAlignment="1">
      <alignment vertical="top" wrapText="1"/>
    </xf>
    <xf numFmtId="0" fontId="11" fillId="10" borderId="0" xfId="0" applyNumberFormat="1" applyFont="1" applyFill="1" applyBorder="1" applyAlignment="1">
      <alignment vertical="top" wrapText="1"/>
    </xf>
    <xf numFmtId="0" fontId="12" fillId="9" borderId="0" xfId="0" applyNumberFormat="1" applyFont="1" applyFill="1" applyBorder="1" applyAlignment="1">
      <alignment vertical="top" wrapText="1"/>
    </xf>
    <xf numFmtId="0" fontId="4" fillId="6" borderId="0" xfId="0" applyNumberFormat="1" applyFont="1" applyFill="1" applyBorder="1" applyAlignment="1">
      <alignment vertical="top" wrapText="1"/>
    </xf>
    <xf numFmtId="0" fontId="13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wrapText="1"/>
    </xf>
    <xf numFmtId="0" fontId="5" fillId="9" borderId="0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7" fillId="7" borderId="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0" fontId="15" fillId="13" borderId="0" xfId="0" applyNumberFormat="1" applyFont="1" applyFill="1" applyBorder="1" applyAlignment="1">
      <alignment vertical="center" wrapText="1"/>
    </xf>
    <xf numFmtId="0" fontId="16" fillId="14" borderId="0" xfId="0" applyNumberFormat="1" applyFont="1" applyFill="1" applyBorder="1" applyAlignment="1">
      <alignment wrapText="1"/>
    </xf>
    <xf numFmtId="0" fontId="17" fillId="12" borderId="0" xfId="0" applyNumberFormat="1" applyFont="1" applyFill="1" applyBorder="1" applyAlignment="1">
      <alignment wrapText="1"/>
    </xf>
    <xf numFmtId="0" fontId="0" fillId="16" borderId="0" xfId="0" applyFill="1"/>
  </cellXfs>
  <cellStyles count="1">
    <cellStyle name="Normal" xfId="0" builtinId="0"/>
  </cellStyles>
  <dxfs count="3">
    <dxf>
      <font>
        <color rgb="FF2F6B43"/>
      </font>
      <fill>
        <patternFill>
          <bgColor rgb="FFE4F2E8"/>
        </patternFill>
      </fill>
    </dxf>
    <dxf>
      <font>
        <b/>
        <color rgb="FF7A5A10"/>
      </font>
      <fill>
        <patternFill>
          <bgColor rgb="FFFDECC8"/>
        </patternFill>
      </fill>
    </dxf>
    <dxf>
      <font>
        <b/>
        <color rgb="FF7A2525"/>
      </font>
      <fill>
        <patternFill>
          <bgColor rgb="FFF5C6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Daily Symptom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Overall Burden</c:v>
          </c:tx>
          <c:marker>
            <c:symbol val="none"/>
          </c:marker>
          <c:cat>
            <c:numRef>
              <c:f>Dashboard!$J$6:$J$33</c:f>
              <c:numCache>
                <c:formatCode>mm/dd/yyyy</c:formatCode>
                <c:ptCount val="28"/>
                <c:pt idx="0">
                  <c:v>46275</c:v>
                </c:pt>
                <c:pt idx="1">
                  <c:v>46276</c:v>
                </c:pt>
                <c:pt idx="2">
                  <c:v>46277</c:v>
                </c:pt>
                <c:pt idx="3">
                  <c:v>46278</c:v>
                </c:pt>
                <c:pt idx="4">
                  <c:v>46279</c:v>
                </c:pt>
                <c:pt idx="5">
                  <c:v>46280</c:v>
                </c:pt>
                <c:pt idx="6">
                  <c:v>46281</c:v>
                </c:pt>
                <c:pt idx="7">
                  <c:v>46282</c:v>
                </c:pt>
                <c:pt idx="8">
                  <c:v>46283</c:v>
                </c:pt>
                <c:pt idx="9">
                  <c:v>46284</c:v>
                </c:pt>
                <c:pt idx="10">
                  <c:v>46285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46291</c:v>
                </c:pt>
                <c:pt idx="17">
                  <c:v>46292</c:v>
                </c:pt>
                <c:pt idx="18">
                  <c:v>46293</c:v>
                </c:pt>
                <c:pt idx="19">
                  <c:v>46294</c:v>
                </c:pt>
                <c:pt idx="20">
                  <c:v>46295</c:v>
                </c:pt>
                <c:pt idx="21">
                  <c:v>46296</c:v>
                </c:pt>
                <c:pt idx="22">
                  <c:v>46297</c:v>
                </c:pt>
                <c:pt idx="23">
                  <c:v>46298</c:v>
                </c:pt>
                <c:pt idx="24">
                  <c:v>46299</c:v>
                </c:pt>
                <c:pt idx="25">
                  <c:v>46300</c:v>
                </c:pt>
                <c:pt idx="26">
                  <c:v>46301</c:v>
                </c:pt>
                <c:pt idx="27">
                  <c:v>46302</c:v>
                </c:pt>
              </c:numCache>
            </c:numRef>
          </c:cat>
          <c:val>
            <c:numRef>
              <c:f>Dashboard!$K$6:$K$33</c:f>
              <c:numCache>
                <c:formatCode>General</c:formatCode>
                <c:ptCount val="2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CC-4EAC-AA3B-7040AAC2189B}"/>
            </c:ext>
          </c:extLst>
        </c:ser>
        <c:ser>
          <c:idx val="1"/>
          <c:order val="1"/>
          <c:tx>
            <c:v>Pain</c:v>
          </c:tx>
          <c:marker>
            <c:symbol val="none"/>
          </c:marker>
          <c:cat>
            <c:numRef>
              <c:f>Dashboard!$J$6:$J$33</c:f>
              <c:numCache>
                <c:formatCode>mm/dd/yyyy</c:formatCode>
                <c:ptCount val="28"/>
                <c:pt idx="0">
                  <c:v>46275</c:v>
                </c:pt>
                <c:pt idx="1">
                  <c:v>46276</c:v>
                </c:pt>
                <c:pt idx="2">
                  <c:v>46277</c:v>
                </c:pt>
                <c:pt idx="3">
                  <c:v>46278</c:v>
                </c:pt>
                <c:pt idx="4">
                  <c:v>46279</c:v>
                </c:pt>
                <c:pt idx="5">
                  <c:v>46280</c:v>
                </c:pt>
                <c:pt idx="6">
                  <c:v>46281</c:v>
                </c:pt>
                <c:pt idx="7">
                  <c:v>46282</c:v>
                </c:pt>
                <c:pt idx="8">
                  <c:v>46283</c:v>
                </c:pt>
                <c:pt idx="9">
                  <c:v>46284</c:v>
                </c:pt>
                <c:pt idx="10">
                  <c:v>46285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46291</c:v>
                </c:pt>
                <c:pt idx="17">
                  <c:v>46292</c:v>
                </c:pt>
                <c:pt idx="18">
                  <c:v>46293</c:v>
                </c:pt>
                <c:pt idx="19">
                  <c:v>46294</c:v>
                </c:pt>
                <c:pt idx="20">
                  <c:v>46295</c:v>
                </c:pt>
                <c:pt idx="21">
                  <c:v>46296</c:v>
                </c:pt>
                <c:pt idx="22">
                  <c:v>46297</c:v>
                </c:pt>
                <c:pt idx="23">
                  <c:v>46298</c:v>
                </c:pt>
                <c:pt idx="24">
                  <c:v>46299</c:v>
                </c:pt>
                <c:pt idx="25">
                  <c:v>46300</c:v>
                </c:pt>
                <c:pt idx="26">
                  <c:v>46301</c:v>
                </c:pt>
                <c:pt idx="27">
                  <c:v>46302</c:v>
                </c:pt>
              </c:numCache>
            </c:numRef>
          </c:cat>
          <c:val>
            <c:numRef>
              <c:f>Dashboard!$L$6:$L$33</c:f>
              <c:numCache>
                <c:formatCode>General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CC-4EAC-AA3B-7040AAC2189B}"/>
            </c:ext>
          </c:extLst>
        </c:ser>
        <c:ser>
          <c:idx val="2"/>
          <c:order val="2"/>
          <c:tx>
            <c:v>Fatigue</c:v>
          </c:tx>
          <c:marker>
            <c:symbol val="none"/>
          </c:marker>
          <c:cat>
            <c:numRef>
              <c:f>Dashboard!$J$6:$J$33</c:f>
              <c:numCache>
                <c:formatCode>mm/dd/yyyy</c:formatCode>
                <c:ptCount val="28"/>
                <c:pt idx="0">
                  <c:v>46275</c:v>
                </c:pt>
                <c:pt idx="1">
                  <c:v>46276</c:v>
                </c:pt>
                <c:pt idx="2">
                  <c:v>46277</c:v>
                </c:pt>
                <c:pt idx="3">
                  <c:v>46278</c:v>
                </c:pt>
                <c:pt idx="4">
                  <c:v>46279</c:v>
                </c:pt>
                <c:pt idx="5">
                  <c:v>46280</c:v>
                </c:pt>
                <c:pt idx="6">
                  <c:v>46281</c:v>
                </c:pt>
                <c:pt idx="7">
                  <c:v>46282</c:v>
                </c:pt>
                <c:pt idx="8">
                  <c:v>46283</c:v>
                </c:pt>
                <c:pt idx="9">
                  <c:v>46284</c:v>
                </c:pt>
                <c:pt idx="10">
                  <c:v>46285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46291</c:v>
                </c:pt>
                <c:pt idx="17">
                  <c:v>46292</c:v>
                </c:pt>
                <c:pt idx="18">
                  <c:v>46293</c:v>
                </c:pt>
                <c:pt idx="19">
                  <c:v>46294</c:v>
                </c:pt>
                <c:pt idx="20">
                  <c:v>46295</c:v>
                </c:pt>
                <c:pt idx="21">
                  <c:v>46296</c:v>
                </c:pt>
                <c:pt idx="22">
                  <c:v>46297</c:v>
                </c:pt>
                <c:pt idx="23">
                  <c:v>46298</c:v>
                </c:pt>
                <c:pt idx="24">
                  <c:v>46299</c:v>
                </c:pt>
                <c:pt idx="25">
                  <c:v>46300</c:v>
                </c:pt>
                <c:pt idx="26">
                  <c:v>46301</c:v>
                </c:pt>
                <c:pt idx="27">
                  <c:v>46302</c:v>
                </c:pt>
              </c:numCache>
            </c:numRef>
          </c:cat>
          <c:val>
            <c:numRef>
              <c:f>Dashboard!$M$6:$M$33</c:f>
              <c:numCache>
                <c:formatCode>General</c:formatCode>
                <c:ptCount val="2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CC-4EAC-AA3B-7040AAC2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0000000}" name="WorkbookMapTable" displayName="WorkbookMapTable" ref="A23:B39" totalsRowShown="0">
  <tableColumns count="2">
    <tableColumn id="1" xr3:uid="{00000000-0010-0000-0000-000001000000}" name="Sheet"/>
    <tableColumn id="2" xr3:uid="{00000000-0010-0000-0000-000002000000}" name="Use it f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ilyCheckInTable" displayName="DailyCheckInTable" ref="A5:V370" totalsRowShown="0">
  <tableColumns count="22">
    <tableColumn id="1" xr3:uid="{00000000-0010-0000-0100-000001000000}" name="Date"/>
    <tableColumn id="2" xr3:uid="{00000000-0010-0000-0100-000002000000}" name="Day Type"/>
    <tableColumn id="3" xr3:uid="{00000000-0010-0000-0100-000003000000}" name="Overall Symptom Burden 0–10"/>
    <tableColumn id="4" xr3:uid="{00000000-0010-0000-0100-000004000000}" name="Pain 0–10"/>
    <tableColumn id="5" xr3:uid="{00000000-0010-0000-0100-000005000000}" name="Fatigue 0–10"/>
    <tableColumn id="6" xr3:uid="{00000000-0010-0000-0100-000006000000}" name="Energy 0–10"/>
    <tableColumn id="7" xr3:uid="{00000000-0010-0000-0100-000007000000}" name="Brain Fog 0–10"/>
    <tableColumn id="8" xr3:uid="{00000000-0010-0000-0100-000008000000}" name="Sleep Hours"/>
    <tableColumn id="9" xr3:uid="{00000000-0010-0000-0100-000009000000}" name="Sleep Quality 0–10"/>
    <tableColumn id="10" xr3:uid="{00000000-0010-0000-0100-00000A000000}" name="Function 0–10"/>
    <tableColumn id="11" xr3:uid="{00000000-0010-0000-0100-00000B000000}" name="Stress 0–10"/>
    <tableColumn id="12" xr3:uid="{00000000-0010-0000-0100-00000C000000}" name="GI Impact 0–10"/>
    <tableColumn id="13" xr3:uid="{00000000-0010-0000-0100-00000D000000}" name="Skin / Mucosal 0–10"/>
    <tableColumn id="14" xr3:uid="{00000000-0010-0000-0100-00000E000000}" name="Joint / Muscle 0–10"/>
    <tableColumn id="15" xr3:uid="{00000000-0010-0000-0100-00000F000000}" name="Dryness 0–10"/>
    <tableColumn id="16" xr3:uid="{00000000-0010-0000-0100-000010000000}" name="Temp / Autonomic 0–10"/>
    <tableColumn id="17" xr3:uid="{00000000-0010-0000-0100-000011000000}" name="Ill / Infection?"/>
    <tableColumn id="18" xr3:uid="{00000000-0010-0000-0100-000012000000}" name="Hormonal / Cycle Context"/>
    <tableColumn id="19" xr3:uid="{00000000-0010-0000-0100-000013000000}" name="New / Unusual Symptom?"/>
    <tableColumn id="20" xr3:uid="{00000000-0010-0000-0100-000014000000}" name="Treatment Taken as Planned?"/>
    <tableColumn id="21" xr3:uid="{00000000-0010-0000-0100-000015000000}" name="AIP Phase"/>
    <tableColumn id="22" xr3:uid="{00000000-0010-0000-0100-00001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ymptomLogTable" displayName="SymptomLogTable" ref="A5:P255" totalsRowShown="0">
  <tableColumns count="16">
    <tableColumn id="1" xr3:uid="{00000000-0010-0000-0200-000001000000}" name="Date"/>
    <tableColumn id="2" xr3:uid="{00000000-0010-0000-0200-000002000000}" name="Time"/>
    <tableColumn id="3" xr3:uid="{00000000-0010-0000-0200-000003000000}" name="Symptom"/>
    <tableColumn id="4" xr3:uid="{00000000-0010-0000-0200-000004000000}" name="Category"/>
    <tableColumn id="5" xr3:uid="{00000000-0010-0000-0200-000005000000}" name="Severity 0–10"/>
    <tableColumn id="6" xr3:uid="{00000000-0010-0000-0200-000006000000}" name="Interference 0–10"/>
    <tableColumn id="7" xr3:uid="{00000000-0010-0000-0200-000007000000}" name="Duration / Pattern"/>
    <tableColumn id="8" xr3:uid="{00000000-0010-0000-0200-000008000000}" name="Change"/>
    <tableColumn id="9" xr3:uid="{00000000-0010-0000-0200-000009000000}" name="Body Location"/>
    <tableColumn id="10" xr3:uid="{00000000-0010-0000-0200-00000A000000}" name="Onset / Timing"/>
    <tableColumn id="11" xr3:uid="{00000000-0010-0000-0200-00000B000000}" name="Possible Trigger / Context"/>
    <tableColumn id="12" xr3:uid="{00000000-0010-0000-0200-00000C000000}" name="Action / Treatment"/>
    <tableColumn id="13" xr3:uid="{00000000-0010-0000-0200-00000D000000}" name="Response / What Helped"/>
    <tableColumn id="14" xr3:uid="{00000000-0010-0000-0200-00000E000000}" name="New Symptom?"/>
    <tableColumn id="15" xr3:uid="{00000000-0010-0000-0200-00000F000000}" name="Follow-Up Needed?"/>
    <tableColumn id="16" xr3:uid="{00000000-0010-0000-0200-000010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lareLogTable" displayName="FlareLogTable" ref="A5:N155" totalsRowShown="0">
  <tableColumns count="14">
    <tableColumn id="1" xr3:uid="{00000000-0010-0000-0300-000001000000}" name="Flare Start"/>
    <tableColumn id="2" xr3:uid="{00000000-0010-0000-0300-000002000000}" name="Flare End"/>
    <tableColumn id="3" xr3:uid="{00000000-0010-0000-0300-000003000000}" name="Duration (days)"/>
    <tableColumn id="4" xr3:uid="{00000000-0010-0000-0300-000004000000}" name="Peak Severity 0–10"/>
    <tableColumn id="5" xr3:uid="{00000000-0010-0000-0300-000005000000}" name="Suspected Trigger / Context"/>
    <tableColumn id="6" xr3:uid="{00000000-0010-0000-0300-000006000000}" name="Main Symptoms / Systems"/>
    <tableColumn id="7" xr3:uid="{00000000-0010-0000-0300-000007000000}" name="Function Impact"/>
    <tableColumn id="8" xr3:uid="{00000000-0010-0000-0300-000008000000}" name="Work / School / Caregiving Impact"/>
    <tableColumn id="9" xr3:uid="{00000000-0010-0000-0300-000009000000}" name="Treatments / Actions"/>
    <tableColumn id="10" xr3:uid="{00000000-0010-0000-0300-00000A000000}" name="Provider Contact / Care Sought"/>
    <tableColumn id="11" xr3:uid="{00000000-0010-0000-0300-00000B000000}" name="Labs / Tests"/>
    <tableColumn id="12" xr3:uid="{00000000-0010-0000-0300-00000C000000}" name="Outcome / Recovery"/>
    <tableColumn id="13" xr3:uid="{00000000-0010-0000-0300-00000D000000}" name="Back to Baseline?"/>
    <tableColumn id="14" xr3:uid="{00000000-0010-0000-0300-00000E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reatmentsTable" displayName="TreatmentsTable" ref="A5:S155" totalsRowShown="0">
  <tableColumns count="19">
    <tableColumn id="1" xr3:uid="{00000000-0010-0000-0400-000001000000}" name="Treatment / Intervention"/>
    <tableColumn id="2" xr3:uid="{00000000-0010-0000-0400-000002000000}" name="Type"/>
    <tableColumn id="3" xr3:uid="{00000000-0010-0000-0400-000003000000}" name="Status"/>
    <tableColumn id="4" xr3:uid="{00000000-0010-0000-0400-000004000000}" name="Goal / Indication"/>
    <tableColumn id="5" xr3:uid="{00000000-0010-0000-0400-000005000000}" name="Prescriber / Source"/>
    <tableColumn id="6" xr3:uid="{00000000-0010-0000-0400-000006000000}" name="Dose / Strength"/>
    <tableColumn id="7" xr3:uid="{00000000-0010-0000-0400-000007000000}" name="Route"/>
    <tableColumn id="8" xr3:uid="{00000000-0010-0000-0400-000008000000}" name="Frequency / Schedule"/>
    <tableColumn id="9" xr3:uid="{00000000-0010-0000-0400-000009000000}" name="Start Date"/>
    <tableColumn id="10" xr3:uid="{00000000-0010-0000-0400-00000A000000}" name="Last Taken / Given"/>
    <tableColumn id="11" xr3:uid="{00000000-0010-0000-0400-00000B000000}" name="Typical Interval (days)"/>
    <tableColumn id="12" xr3:uid="{00000000-0010-0000-0400-00000C000000}" name="Next Expected"/>
    <tableColumn id="13" xr3:uid="{00000000-0010-0000-0400-00000D000000}" name="End Date"/>
    <tableColumn id="14" xr3:uid="{00000000-0010-0000-0400-00000E000000}" name="Reason Paused / Stopped / Not Started"/>
    <tableColumn id="15" xr3:uid="{00000000-0010-0000-0400-00000F000000}" name="Access Barrier?"/>
    <tableColumn id="16" xr3:uid="{00000000-0010-0000-0400-000010000000}" name="Cost / Coverage Notes"/>
    <tableColumn id="17" xr3:uid="{00000000-0010-0000-0400-000011000000}" name="Perceived Benefit 0–10"/>
    <tableColumn id="18" xr3:uid="{00000000-0010-0000-0400-000012000000}" name="Side Effect / Burden 0–10"/>
    <tableColumn id="19" xr3:uid="{00000000-0010-0000-0400-000013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reatmentEventsTable" displayName="TreatmentEventsTable" ref="A5:N255" totalsRowShown="0">
  <tableColumns count="14">
    <tableColumn id="1" xr3:uid="{00000000-0010-0000-0500-000001000000}" name="Date"/>
    <tableColumn id="2" xr3:uid="{00000000-0010-0000-0500-000002000000}" name="Time"/>
    <tableColumn id="3" xr3:uid="{00000000-0010-0000-0500-000003000000}" name="Treatment / Intervention"/>
    <tableColumn id="4" xr3:uid="{00000000-0010-0000-0500-000004000000}" name="Event Type"/>
    <tableColumn id="5" xr3:uid="{00000000-0010-0000-0500-000005000000}" name="Dose / Details"/>
    <tableColumn id="6" xr3:uid="{00000000-0010-0000-0500-000006000000}" name="Taken / Given as Planned?"/>
    <tableColumn id="7" xr3:uid="{00000000-0010-0000-0500-000007000000}" name="Reason if Missed / Held / Delayed"/>
    <tableColumn id="8" xr3:uid="{00000000-0010-0000-0500-000008000000}" name="Immediate Side Effects"/>
    <tableColumn id="9" xr3:uid="{00000000-0010-0000-0500-000009000000}" name="Side Effect Severity 0–10"/>
    <tableColumn id="10" xr3:uid="{00000000-0010-0000-0500-00000A000000}" name="0–24h Response"/>
    <tableColumn id="11" xr3:uid="{00000000-0010-0000-0500-00000B000000}" name="24–72h Response"/>
    <tableColumn id="12" xr3:uid="{00000000-0010-0000-0500-00000C000000}" name="Perceived Benefit 0–10"/>
    <tableColumn id="13" xr3:uid="{00000000-0010-0000-0500-00000D000000}" name="Access Issue?"/>
    <tableColumn id="14" xr3:uid="{00000000-0010-0000-0500-00000E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AIPNutritionTable" displayName="AIPNutritionTable" ref="A5:O255" totalsRowShown="0">
  <tableColumns count="15">
    <tableColumn id="1" xr3:uid="{00000000-0010-0000-0600-000001000000}" name="Date"/>
    <tableColumn id="2" xr3:uid="{00000000-0010-0000-0600-000002000000}" name="AIP Phase"/>
    <tableColumn id="3" xr3:uid="{00000000-0010-0000-0600-000003000000}" name="Entry Type"/>
    <tableColumn id="4" xr3:uid="{00000000-0010-0000-0600-000004000000}" name="Food / Ingredient / Meal"/>
    <tableColumn id="5" xr3:uid="{00000000-0010-0000-0600-000005000000}" name="Food Group"/>
    <tableColumn id="6" xr3:uid="{00000000-0010-0000-0600-000006000000}" name="Time"/>
    <tableColumn id="7" xr3:uid="{00000000-0010-0000-0600-000007000000}" name="Reintroduction Stage / Details"/>
    <tableColumn id="8" xr3:uid="{00000000-0010-0000-0600-000008000000}" name="New or Reintroduced?"/>
    <tableColumn id="9" xr3:uid="{00000000-0010-0000-0600-000009000000}" name="Symptoms Before 0–10"/>
    <tableColumn id="10" xr3:uid="{00000000-0010-0000-0600-00000A000000}" name="Peak Symptoms After 0–10"/>
    <tableColumn id="11" xr3:uid="{00000000-0010-0000-0600-00000B000000}" name="Time to Change"/>
    <tableColumn id="12" xr3:uid="{00000000-0010-0000-0600-00000C000000}" name="Reaction / Change Type"/>
    <tableColumn id="13" xr3:uid="{00000000-0010-0000-0600-00000D000000}" name="Result"/>
    <tableColumn id="14" xr3:uid="{00000000-0010-0000-0600-00000E000000}" name="Decision / Next Step"/>
    <tableColumn id="15" xr3:uid="{00000000-0010-0000-0600-00000F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LifestyleTriggersTable" displayName="LifestyleTriggersTable" ref="A5:J255" totalsRowShown="0">
  <tableColumns count="10">
    <tableColumn id="1" xr3:uid="{00000000-0010-0000-0700-000001000000}" name="Date"/>
    <tableColumn id="2" xr3:uid="{00000000-0010-0000-0700-000002000000}" name="Factor / Exposure"/>
    <tableColumn id="3" xr3:uid="{00000000-0010-0000-0700-000003000000}" name="Category"/>
    <tableColumn id="4" xr3:uid="{00000000-0010-0000-0700-000004000000}" name="Intensity / Amount 0–10"/>
    <tableColumn id="5" xr3:uid="{00000000-0010-0000-0700-000005000000}" name="Duration / Timing"/>
    <tableColumn id="6" xr3:uid="{00000000-0010-0000-0700-000006000000}" name="Protective Action / What I Did"/>
    <tableColumn id="7" xr3:uid="{00000000-0010-0000-0700-000007000000}" name="Symptom Impact 0–10"/>
    <tableColumn id="8" xr3:uid="{00000000-0010-0000-0700-000008000000}" name="Delay to Impact"/>
    <tableColumn id="9" xr3:uid="{00000000-0010-0000-0700-000009000000}" name="Helped / Worsened / Neutral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LabsTable" displayName="LabsTable" ref="A5:K255" totalsRowShown="0">
  <tableColumns count="11">
    <tableColumn id="1" xr3:uid="{00000000-0010-0000-0800-000001000000}" name="Date"/>
    <tableColumn id="2" xr3:uid="{00000000-0010-0000-0800-000002000000}" name="Test"/>
    <tableColumn id="3" xr3:uid="{00000000-0010-0000-0800-000003000000}" name="Result"/>
    <tableColumn id="4" xr3:uid="{00000000-0010-0000-0800-000004000000}" name="Units"/>
    <tableColumn id="5" xr3:uid="{00000000-0010-0000-0800-000005000000}" name="Reference Low"/>
    <tableColumn id="6" xr3:uid="{00000000-0010-0000-0800-000006000000}" name="Reference High"/>
    <tableColumn id="7" xr3:uid="{00000000-0010-0000-0800-000007000000}" name="Auto Flag"/>
    <tableColumn id="8" xr3:uid="{00000000-0010-0000-0800-000008000000}" name="Ordering Provider"/>
    <tableColumn id="9" xr3:uid="{00000000-0010-0000-0800-000009000000}" name="Lab / Facility"/>
    <tableColumn id="10" xr3:uid="{00000000-0010-0000-0800-00000A000000}" name="Related Flare / Context"/>
    <tableColumn id="11" xr3:uid="{00000000-0010-0000-0800-00000B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AppointmentsTable" displayName="AppointmentsTable" ref="A5:N155" totalsRowShown="0">
  <tableColumns count="14">
    <tableColumn id="1" xr3:uid="{00000000-0010-0000-0900-000001000000}" name="Date"/>
    <tableColumn id="2" xr3:uid="{00000000-0010-0000-0900-000002000000}" name="Provider"/>
    <tableColumn id="3" xr3:uid="{00000000-0010-0000-0900-000003000000}" name="Specialty"/>
    <tableColumn id="4" xr3:uid="{00000000-0010-0000-0900-000004000000}" name="Visit Type"/>
    <tableColumn id="5" xr3:uid="{00000000-0010-0000-0900-000005000000}" name="Main Goal"/>
    <tableColumn id="6" xr3:uid="{00000000-0010-0000-0900-000006000000}" name="Questions I Want Answered"/>
    <tableColumn id="7" xr3:uid="{00000000-0010-0000-0900-000007000000}" name="Key Symptoms / Changes to Discuss"/>
    <tableColumn id="8" xr3:uid="{00000000-0010-0000-0900-000008000000}" name="Data / Records to Bring"/>
    <tableColumn id="9" xr3:uid="{00000000-0010-0000-0900-000009000000}" name="Decisions / Assessment"/>
    <tableColumn id="10" xr3:uid="{00000000-0010-0000-0900-00000A000000}" name="Tests / Labs Ordered"/>
    <tableColumn id="11" xr3:uid="{00000000-0010-0000-0900-00000B000000}" name="Referrals"/>
    <tableColumn id="12" xr3:uid="{00000000-0010-0000-0900-00000C000000}" name="Treatment Changes"/>
    <tableColumn id="13" xr3:uid="{00000000-0010-0000-0900-00000D000000}" name="Follow-Up / Next Step"/>
    <tableColumn id="14" xr3:uid="{00000000-0010-0000-0900-00000E000000}" name="Next Appoint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CareAccessTable" displayName="CareAccessTable" ref="A5:N205" totalsRowShown="0">
  <tableColumns count="14">
    <tableColumn id="1" xr3:uid="{00000000-0010-0000-0A00-000001000000}" name="Date"/>
    <tableColumn id="2" xr3:uid="{00000000-0010-0000-0A00-000002000000}" name="Item / Service"/>
    <tableColumn id="3" xr3:uid="{00000000-0010-0000-0A00-000003000000}" name="Type"/>
    <tableColumn id="4" xr3:uid="{00000000-0010-0000-0A00-000004000000}" name="Status"/>
    <tableColumn id="5" xr3:uid="{00000000-0010-0000-0A00-000005000000}" name="Payer / Program / Provider"/>
    <tableColumn id="6" xr3:uid="{00000000-0010-0000-0A00-000006000000}" name="Barrier / Reason Given"/>
    <tableColumn id="7" xr3:uid="{00000000-0010-0000-0A00-000007000000}" name="Reference / Case / Authorization #"/>
    <tableColumn id="8" xr3:uid="{00000000-0010-0000-0A00-000008000000}" name="Cost Quote / Patient Cost"/>
    <tableColumn id="9" xr3:uid="{00000000-0010-0000-0A00-000009000000}" name="Action Taken"/>
    <tableColumn id="10" xr3:uid="{00000000-0010-0000-0A00-00000A000000}" name="Person / Office Contacted"/>
    <tableColumn id="11" xr3:uid="{00000000-0010-0000-0A00-00000B000000}" name="Next Step"/>
    <tableColumn id="12" xr3:uid="{00000000-0010-0000-0A00-00000C000000}" name="Next Follow-Up Date"/>
    <tableColumn id="13" xr3:uid="{00000000-0010-0000-0A00-00000D000000}" name="Outcome"/>
    <tableColumn id="14" xr3:uid="{00000000-0010-0000-0A00-00000E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DiagnosticJourneyTable" displayName="DiagnosticJourneyTable" ref="A5:H205" totalsRowShown="0">
  <tableColumns count="8">
    <tableColumn id="1" xr3:uid="{00000000-0010-0000-0B00-000001000000}" name="Date"/>
    <tableColumn id="2" xr3:uid="{00000000-0010-0000-0B00-000002000000}" name="Condition / Clinical Question"/>
    <tableColumn id="3" xr3:uid="{00000000-0010-0000-0B00-000003000000}" name="Status"/>
    <tableColumn id="4" xr3:uid="{00000000-0010-0000-0B00-000004000000}" name="Provider / Specialty"/>
    <tableColumn id="5" xr3:uid="{00000000-0010-0000-0B00-000005000000}" name="Reason Discussed / Evidence"/>
    <tableColumn id="6" xr3:uid="{00000000-0010-0000-0B00-000006000000}" name="Tests / Criteria / Records Reviewed"/>
    <tableColumn id="7" xr3:uid="{00000000-0010-0000-0B00-000007000000}" name="Next Step"/>
    <tableColumn id="8" xr3:uid="{00000000-0010-0000-0B00-000008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DV_DiagnosisStatus" displayName="DV_DiagnosisStatus" ref="A6:A19" totalsRowShown="0">
  <tableColumns count="1">
    <tableColumn id="1" xr3:uid="{00000000-0010-0000-0C00-000001000000}" name="Diagnosis 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DV_YesNo" displayName="DV_YesNo" ref="C6:C13" totalsRowShown="0">
  <tableColumns count="1">
    <tableColumn id="1" xr3:uid="{00000000-0010-0000-0D00-000001000000}" name="Yes / N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DV_YesNoMaybe" displayName="DV_YesNoMaybe" ref="E6:E14" totalsRowShown="0">
  <tableColumns count="1">
    <tableColumn id="1" xr3:uid="{00000000-0010-0000-0E00-000001000000}" name="Yes / No / Mayb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DV_010Scale" displayName="DV_010Scale" ref="G6:G22" totalsRowShown="0">
  <tableColumns count="1">
    <tableColumn id="1" xr3:uid="{00000000-0010-0000-0F00-000001000000}" name="0–10 Sca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DV_DayType" displayName="DV_DayType" ref="A30:A40" totalsRowShown="0">
  <tableColumns count="1">
    <tableColumn id="1" xr3:uid="{00000000-0010-0000-1000-000001000000}" name="Day Typ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DV_YesNoUnsure" displayName="DV_YesNoUnsure" ref="C30:C38" totalsRowShown="0">
  <tableColumns count="1">
    <tableColumn id="1" xr3:uid="{00000000-0010-0000-1100-000001000000}" name="Yes / No / Unsu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DV_YesNoPartlyNA" displayName="DV_YesNoPartlyNA" ref="E30:E39" totalsRowShown="0">
  <tableColumns count="1">
    <tableColumn id="1" xr3:uid="{00000000-0010-0000-1200-000001000000}" name="Yes / No / Partly / N/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DV_AipPhase" displayName="DV_AipPhase" ref="G30:G41" totalsRowShown="0">
  <tableColumns count="1">
    <tableColumn id="1" xr3:uid="{00000000-0010-0000-1300-000001000000}" name="AIP Phas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DV_SymptomChange" displayName="DV_SymptomChange" ref="A54:A65" totalsRowShown="0">
  <tableColumns count="1">
    <tableColumn id="1" xr3:uid="{00000000-0010-0000-1400-000001000000}" name="Symptom Chang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DV_BackToBaseline" displayName="DV_BackToBaseline" ref="C54:C63" totalsRowShown="0">
  <tableColumns count="1">
    <tableColumn id="1" xr3:uid="{00000000-0010-0000-1500-000001000000}" name="Back to Baselin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DV_TreatmentType" displayName="DV_TreatmentType" ref="E54:E69" totalsRowShown="0">
  <tableColumns count="1">
    <tableColumn id="1" xr3:uid="{00000000-0010-0000-1600-000001000000}" name="Treatme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DV_TreatmentStatus" displayName="DV_TreatmentStatus" ref="G54:G65" totalsRowShown="0">
  <tableColumns count="1">
    <tableColumn id="1" xr3:uid="{00000000-0010-0000-1700-000001000000}" name="Treatment 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DV_YesNoSometimes" displayName="DV_YesNoSometimes" ref="A78:A86" totalsRowShown="0">
  <tableColumns count="1">
    <tableColumn id="1" xr3:uid="{00000000-0010-0000-1800-000001000000}" name="Yes / No / Sometim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DV_TreatmentEventType" displayName="DV_TreatmentEventType" ref="C78:C91" totalsRowShown="0">
  <tableColumns count="1">
    <tableColumn id="1" xr3:uid="{00000000-0010-0000-1900-000001000000}" name="Treatment Event Typ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DV_NutritionEntryType" displayName="DV_NutritionEntryType" ref="E78:E89" totalsRowShown="0">
  <tableColumns count="1">
    <tableColumn id="1" xr3:uid="{00000000-0010-0000-1A00-000001000000}" name="Nutrition Entry Typ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DV_YesNoNA" displayName="DV_YesNoNA" ref="G78:G86" totalsRowShown="0">
  <tableColumns count="1">
    <tableColumn id="1" xr3:uid="{00000000-0010-0000-1B00-000001000000}" name="Yes / No / N/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C000000}" name="DV_NutritionResult" displayName="DV_NutritionResult" ref="A102:A112" totalsRowShown="0">
  <tableColumns count="1">
    <tableColumn id="1" xr3:uid="{00000000-0010-0000-1C00-000001000000}" name="Nutrition Resul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DV_TriggerCategory" displayName="DV_TriggerCategory" ref="C102:C122" totalsRowShown="0">
  <tableColumns count="1">
    <tableColumn id="1" xr3:uid="{00000000-0010-0000-1D00-000001000000}" name="Trigger Categor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E000000}" name="DV_TriggerEffect" displayName="DV_TriggerEffect" ref="E102:E111" totalsRowShown="0">
  <tableColumns count="1">
    <tableColumn id="1" xr3:uid="{00000000-0010-0000-1E00-000001000000}" name="Trigger Effec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F000000}" name="DV_VisitType" displayName="DV_VisitType" ref="G102:G113" totalsRowShown="0">
  <tableColumns count="1">
    <tableColumn id="1" xr3:uid="{00000000-0010-0000-1F00-000001000000}" name="Visit Typ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0000000}" name="DV_CareAccessType" displayName="DV_CareAccessType" ref="A126:A141" totalsRowShown="0">
  <tableColumns count="1">
    <tableColumn id="1" xr3:uid="{00000000-0010-0000-2000-000001000000}" name="Care Access Typ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1000000}" name="DV_CareAccessStatus" displayName="DV_CareAccessStatus" ref="C126:C142" totalsRowShown="0">
  <tableColumns count="1">
    <tableColumn id="1" xr3:uid="{00000000-0010-0000-2100-000001000000}" name="Care Access Statu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2000000}" name="DV_DiagnosticStatus" displayName="DV_DiagnosticStatus" ref="E126:E138" totalsRowShown="0">
  <tableColumns count="1">
    <tableColumn id="1" xr3:uid="{00000000-0010-0000-2200-000001000000}" name="Diagnostic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18" Type="http://schemas.openxmlformats.org/officeDocument/2006/relationships/table" Target="../tables/table30.xml"/><Relationship Id="rId3" Type="http://schemas.openxmlformats.org/officeDocument/2006/relationships/table" Target="../tables/table15.xml"/><Relationship Id="rId21" Type="http://schemas.openxmlformats.org/officeDocument/2006/relationships/table" Target="../tables/table33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17" Type="http://schemas.openxmlformats.org/officeDocument/2006/relationships/table" Target="../tables/table29.xml"/><Relationship Id="rId2" Type="http://schemas.openxmlformats.org/officeDocument/2006/relationships/table" Target="../tables/table14.xml"/><Relationship Id="rId16" Type="http://schemas.openxmlformats.org/officeDocument/2006/relationships/table" Target="../tables/table28.xml"/><Relationship Id="rId20" Type="http://schemas.openxmlformats.org/officeDocument/2006/relationships/table" Target="../tables/table32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5" Type="http://schemas.openxmlformats.org/officeDocument/2006/relationships/table" Target="../tables/table27.xml"/><Relationship Id="rId23" Type="http://schemas.openxmlformats.org/officeDocument/2006/relationships/table" Target="../tables/table35.xml"/><Relationship Id="rId10" Type="http://schemas.openxmlformats.org/officeDocument/2006/relationships/table" Target="../tables/table22.xml"/><Relationship Id="rId19" Type="http://schemas.openxmlformats.org/officeDocument/2006/relationships/table" Target="../tables/table31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Relationship Id="rId14" Type="http://schemas.openxmlformats.org/officeDocument/2006/relationships/table" Target="../tables/table26.xml"/><Relationship Id="rId22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sqref="A1:H2"/>
    </sheetView>
  </sheetViews>
  <sheetFormatPr defaultRowHeight="14.25"/>
  <cols>
    <col min="1" max="1" width="22" customWidth="1"/>
    <col min="2" max="2" width="88" customWidth="1"/>
  </cols>
  <sheetData>
    <row r="1" spans="1:8" ht="32.1" customHeight="1">
      <c r="A1" s="19" t="s">
        <v>0</v>
      </c>
      <c r="B1" s="20"/>
      <c r="C1" s="20"/>
      <c r="D1" s="20"/>
      <c r="E1" s="20"/>
      <c r="F1" s="20"/>
      <c r="G1" s="20"/>
      <c r="H1" s="20"/>
    </row>
    <row r="2" spans="1:8" ht="30" customHeight="1">
      <c r="A2" s="21" t="s">
        <v>1</v>
      </c>
      <c r="B2" s="21"/>
      <c r="C2" s="20"/>
      <c r="D2" s="20"/>
      <c r="E2" s="20"/>
      <c r="F2" s="20"/>
      <c r="G2" s="20"/>
      <c r="H2" s="20"/>
    </row>
    <row r="3" spans="1:8" ht="33.950000000000003" customHeight="1">
      <c r="A3" s="22" t="s">
        <v>2</v>
      </c>
      <c r="B3" s="23"/>
      <c r="C3" s="23"/>
      <c r="D3" s="23"/>
      <c r="E3" s="23"/>
      <c r="F3" s="23"/>
      <c r="G3" s="23"/>
      <c r="H3" s="23"/>
    </row>
    <row r="5" spans="1:8" ht="15">
      <c r="A5" s="24" t="s">
        <v>3</v>
      </c>
      <c r="B5" s="25"/>
      <c r="C5" s="25"/>
      <c r="D5" s="25"/>
      <c r="E5" s="25"/>
      <c r="F5" s="25"/>
      <c r="G5" s="25"/>
      <c r="H5" s="25"/>
    </row>
    <row r="6" spans="1:8" ht="42" customHeight="1">
      <c r="A6" s="26" t="s">
        <v>4</v>
      </c>
      <c r="B6" s="27"/>
      <c r="C6" s="27"/>
      <c r="D6" s="27"/>
      <c r="E6" s="27"/>
      <c r="F6" s="27"/>
      <c r="G6" s="27"/>
      <c r="H6" s="27"/>
    </row>
    <row r="7" spans="1:8" ht="42" customHeight="1">
      <c r="A7" s="26" t="s">
        <v>5</v>
      </c>
      <c r="B7" s="27"/>
      <c r="C7" s="27"/>
      <c r="D7" s="27"/>
      <c r="E7" s="27"/>
      <c r="F7" s="27"/>
      <c r="G7" s="27"/>
      <c r="H7" s="27"/>
    </row>
    <row r="8" spans="1:8" ht="42" customHeight="1">
      <c r="A8" s="26" t="s">
        <v>6</v>
      </c>
      <c r="B8" s="27"/>
      <c r="C8" s="27"/>
      <c r="D8" s="27"/>
      <c r="E8" s="27"/>
      <c r="F8" s="27"/>
      <c r="G8" s="27"/>
      <c r="H8" s="27"/>
    </row>
    <row r="10" spans="1:8" ht="15">
      <c r="A10" s="24" t="s">
        <v>7</v>
      </c>
      <c r="B10" s="25"/>
      <c r="C10" s="25"/>
      <c r="D10" s="25"/>
      <c r="E10" s="25"/>
      <c r="F10" s="25"/>
      <c r="G10" s="25"/>
      <c r="H10" s="25"/>
    </row>
    <row r="11" spans="1:8" ht="44.1" customHeight="1">
      <c r="A11" s="15" t="s">
        <v>8</v>
      </c>
      <c r="B11" s="29" t="s">
        <v>9</v>
      </c>
      <c r="C11" s="27"/>
      <c r="D11" s="27"/>
      <c r="E11" s="27"/>
      <c r="F11" s="27"/>
      <c r="G11" s="27"/>
      <c r="H11" s="27"/>
    </row>
    <row r="12" spans="1:8" ht="44.1" customHeight="1">
      <c r="A12" s="15" t="s">
        <v>10</v>
      </c>
      <c r="B12" s="29" t="s">
        <v>11</v>
      </c>
      <c r="C12" s="27"/>
      <c r="D12" s="27"/>
      <c r="E12" s="27"/>
      <c r="F12" s="27"/>
      <c r="G12" s="27"/>
      <c r="H12" s="27"/>
    </row>
    <row r="13" spans="1:8" ht="44.1" customHeight="1">
      <c r="A13" s="15" t="s">
        <v>12</v>
      </c>
      <c r="B13" s="29" t="s">
        <v>13</v>
      </c>
      <c r="C13" s="27"/>
      <c r="D13" s="27"/>
      <c r="E13" s="27"/>
      <c r="F13" s="27"/>
      <c r="G13" s="27"/>
      <c r="H13" s="27"/>
    </row>
    <row r="15" spans="1:8" ht="15">
      <c r="A15" s="24" t="s">
        <v>14</v>
      </c>
      <c r="B15" s="25"/>
      <c r="C15" s="25"/>
      <c r="D15" s="25"/>
      <c r="E15" s="25"/>
      <c r="F15" s="25"/>
      <c r="G15" s="25"/>
      <c r="H15" s="25"/>
    </row>
    <row r="16" spans="1:8" ht="32.1" customHeight="1">
      <c r="A16" s="28" t="s">
        <v>15</v>
      </c>
      <c r="B16" s="28"/>
      <c r="C16" s="28"/>
      <c r="D16" s="28"/>
      <c r="E16" s="28"/>
      <c r="F16" s="28"/>
      <c r="G16" s="28"/>
      <c r="H16" s="28"/>
    </row>
    <row r="17" spans="1:8" ht="32.1" customHeight="1">
      <c r="A17" s="28" t="s">
        <v>16</v>
      </c>
      <c r="B17" s="28"/>
      <c r="C17" s="28"/>
      <c r="D17" s="28"/>
      <c r="E17" s="28"/>
      <c r="F17" s="28"/>
      <c r="G17" s="28"/>
      <c r="H17" s="28"/>
    </row>
    <row r="18" spans="1:8" ht="32.1" customHeight="1">
      <c r="A18" s="28" t="s">
        <v>17</v>
      </c>
      <c r="B18" s="28"/>
      <c r="C18" s="28"/>
      <c r="D18" s="28"/>
      <c r="E18" s="28"/>
      <c r="F18" s="28"/>
      <c r="G18" s="28"/>
      <c r="H18" s="28"/>
    </row>
    <row r="19" spans="1:8" ht="32.1" customHeight="1">
      <c r="A19" s="28" t="s">
        <v>18</v>
      </c>
      <c r="B19" s="28"/>
      <c r="C19" s="28"/>
      <c r="D19" s="28"/>
      <c r="E19" s="28"/>
      <c r="F19" s="28"/>
      <c r="G19" s="28"/>
      <c r="H19" s="28"/>
    </row>
    <row r="22" spans="1:8" ht="15">
      <c r="A22" s="24" t="s">
        <v>19</v>
      </c>
      <c r="B22" s="25"/>
      <c r="C22" s="25"/>
      <c r="D22" s="25"/>
      <c r="E22" s="25"/>
      <c r="F22" s="25"/>
      <c r="G22" s="25"/>
      <c r="H22" s="25"/>
    </row>
    <row r="23" spans="1:8" ht="33.950000000000003" customHeight="1">
      <c r="A23" s="16" t="s">
        <v>20</v>
      </c>
      <c r="B23" s="16" t="s">
        <v>21</v>
      </c>
    </row>
    <row r="24" spans="1:8" ht="20.100000000000001" customHeight="1">
      <c r="A24" s="17" t="s">
        <v>22</v>
      </c>
      <c r="B24" s="17" t="s">
        <v>23</v>
      </c>
    </row>
    <row r="25" spans="1:8" ht="20.100000000000001" customHeight="1">
      <c r="A25" s="18" t="s">
        <v>24</v>
      </c>
      <c r="B25" s="18" t="s">
        <v>25</v>
      </c>
    </row>
    <row r="26" spans="1:8" ht="20.100000000000001" customHeight="1">
      <c r="A26" s="17" t="s">
        <v>26</v>
      </c>
      <c r="B26" s="17" t="s">
        <v>27</v>
      </c>
    </row>
    <row r="27" spans="1:8" ht="20.100000000000001" customHeight="1">
      <c r="A27" s="18" t="s">
        <v>28</v>
      </c>
      <c r="B27" s="18" t="s">
        <v>29</v>
      </c>
    </row>
    <row r="28" spans="1:8" ht="20.100000000000001" customHeight="1">
      <c r="A28" s="17" t="s">
        <v>30</v>
      </c>
      <c r="B28" s="17" t="s">
        <v>31</v>
      </c>
    </row>
    <row r="29" spans="1:8" ht="20.100000000000001" customHeight="1">
      <c r="A29" s="18" t="s">
        <v>32</v>
      </c>
      <c r="B29" s="18" t="s">
        <v>33</v>
      </c>
    </row>
    <row r="30" spans="1:8" ht="20.100000000000001" customHeight="1">
      <c r="A30" s="17" t="s">
        <v>34</v>
      </c>
      <c r="B30" s="17" t="s">
        <v>35</v>
      </c>
    </row>
    <row r="31" spans="1:8" ht="20.100000000000001" customHeight="1">
      <c r="A31" s="18" t="s">
        <v>36</v>
      </c>
      <c r="B31" s="18" t="s">
        <v>37</v>
      </c>
    </row>
    <row r="32" spans="1:8" ht="20.100000000000001" customHeight="1">
      <c r="A32" s="17" t="s">
        <v>38</v>
      </c>
      <c r="B32" s="17" t="s">
        <v>39</v>
      </c>
    </row>
    <row r="33" spans="1:8" ht="20.100000000000001" customHeight="1">
      <c r="A33" s="18" t="s">
        <v>40</v>
      </c>
      <c r="B33" s="18" t="s">
        <v>41</v>
      </c>
    </row>
    <row r="34" spans="1:8" ht="20.100000000000001" customHeight="1">
      <c r="A34" s="17" t="s">
        <v>42</v>
      </c>
      <c r="B34" s="17" t="s">
        <v>43</v>
      </c>
    </row>
    <row r="35" spans="1:8" ht="20.100000000000001" customHeight="1">
      <c r="A35" s="18" t="s">
        <v>44</v>
      </c>
      <c r="B35" s="18" t="s">
        <v>45</v>
      </c>
    </row>
    <row r="36" spans="1:8" ht="20.100000000000001" customHeight="1">
      <c r="A36" s="17" t="s">
        <v>46</v>
      </c>
      <c r="B36" s="17" t="s">
        <v>47</v>
      </c>
    </row>
    <row r="37" spans="1:8" ht="20.100000000000001" customHeight="1">
      <c r="A37" s="18" t="s">
        <v>48</v>
      </c>
      <c r="B37" s="18" t="s">
        <v>49</v>
      </c>
    </row>
    <row r="38" spans="1:8" ht="20.100000000000001" customHeight="1">
      <c r="A38" s="17" t="s">
        <v>50</v>
      </c>
      <c r="B38" s="17" t="s">
        <v>51</v>
      </c>
      <c r="C38" s="2"/>
      <c r="D38" s="2"/>
      <c r="E38" s="2"/>
      <c r="F38" s="2"/>
      <c r="G38" s="2"/>
      <c r="H38" s="2"/>
    </row>
    <row r="39" spans="1:8" ht="20.100000000000001" customHeight="1">
      <c r="A39" s="18" t="s">
        <v>52</v>
      </c>
      <c r="B39" s="18" t="s">
        <v>53</v>
      </c>
      <c r="C39" s="2"/>
      <c r="D39" s="2"/>
      <c r="E39" s="2"/>
      <c r="F39" s="2"/>
      <c r="G39" s="2"/>
      <c r="H39" s="2"/>
    </row>
  </sheetData>
  <mergeCells count="16">
    <mergeCell ref="A18:H18"/>
    <mergeCell ref="A19:H19"/>
    <mergeCell ref="A22:H22"/>
    <mergeCell ref="B11:H11"/>
    <mergeCell ref="B12:H12"/>
    <mergeCell ref="B13:H13"/>
    <mergeCell ref="A8:H8"/>
    <mergeCell ref="A10:H10"/>
    <mergeCell ref="A15:H15"/>
    <mergeCell ref="A16:H16"/>
    <mergeCell ref="A17:H17"/>
    <mergeCell ref="A1:H2"/>
    <mergeCell ref="A3:H3"/>
    <mergeCell ref="A5:H5"/>
    <mergeCell ref="A6:H6"/>
    <mergeCell ref="A7:H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2" workbookViewId="0">
      <selection sqref="A1:F2"/>
    </sheetView>
  </sheetViews>
  <sheetFormatPr defaultRowHeight="14.25"/>
  <cols>
    <col min="1" max="1" width="34" customWidth="1"/>
    <col min="2" max="2" width="54" customWidth="1"/>
    <col min="3" max="3" width="3" customWidth="1"/>
    <col min="4" max="4" width="42" customWidth="1"/>
    <col min="5" max="5" width="10" customWidth="1"/>
    <col min="6" max="6" width="34" customWidth="1"/>
  </cols>
  <sheetData>
    <row r="1" spans="1:6" ht="32.1" customHeight="1">
      <c r="A1" s="19" t="s">
        <v>26</v>
      </c>
      <c r="B1" s="20"/>
      <c r="C1" s="20"/>
      <c r="D1" s="20"/>
      <c r="E1" s="20"/>
      <c r="F1" s="20"/>
    </row>
    <row r="2" spans="1:6" ht="32.1" customHeight="1">
      <c r="A2" s="20"/>
      <c r="B2" s="20"/>
      <c r="C2" s="20"/>
      <c r="D2" s="20"/>
      <c r="E2" s="20"/>
      <c r="F2" s="20"/>
    </row>
    <row r="4" spans="1:6" ht="33.950000000000003" customHeight="1">
      <c r="A4" s="12" t="s">
        <v>54</v>
      </c>
      <c r="B4" s="12" t="s">
        <v>55</v>
      </c>
      <c r="D4" s="24" t="s">
        <v>56</v>
      </c>
      <c r="E4" s="25"/>
      <c r="F4" s="25"/>
    </row>
    <row r="5" spans="1:6" ht="33.950000000000003" customHeight="1">
      <c r="A5" s="9" t="s">
        <v>57</v>
      </c>
      <c r="B5" s="1" t="s">
        <v>58</v>
      </c>
      <c r="D5" s="12" t="s">
        <v>59</v>
      </c>
      <c r="E5" s="12" t="s">
        <v>60</v>
      </c>
      <c r="F5" s="12" t="s">
        <v>61</v>
      </c>
    </row>
    <row r="6" spans="1:6" ht="36" customHeight="1">
      <c r="A6" s="9" t="s">
        <v>62</v>
      </c>
      <c r="B6" s="3">
        <v>46275</v>
      </c>
      <c r="D6" s="4" t="s">
        <v>63</v>
      </c>
      <c r="E6" s="1" t="s">
        <v>64</v>
      </c>
      <c r="F6" s="1" t="s">
        <v>65</v>
      </c>
    </row>
    <row r="7" spans="1:6" ht="36" customHeight="1">
      <c r="A7" s="9" t="s">
        <v>66</v>
      </c>
      <c r="B7" s="1" t="s">
        <v>67</v>
      </c>
      <c r="D7" s="4" t="s">
        <v>68</v>
      </c>
      <c r="E7" s="1" t="s">
        <v>64</v>
      </c>
      <c r="F7" s="1" t="s">
        <v>69</v>
      </c>
    </row>
    <row r="8" spans="1:6" ht="36" customHeight="1">
      <c r="A8" s="9" t="s">
        <v>70</v>
      </c>
      <c r="B8" s="1" t="s">
        <v>71</v>
      </c>
      <c r="D8" s="4" t="s">
        <v>72</v>
      </c>
      <c r="E8" s="1" t="s">
        <v>64</v>
      </c>
      <c r="F8" s="1" t="s">
        <v>73</v>
      </c>
    </row>
    <row r="9" spans="1:6" ht="36" customHeight="1">
      <c r="A9" s="9" t="s">
        <v>74</v>
      </c>
      <c r="B9" s="1" t="s">
        <v>75</v>
      </c>
      <c r="D9" s="4" t="s">
        <v>76</v>
      </c>
      <c r="E9" s="1" t="s">
        <v>64</v>
      </c>
      <c r="F9" s="1" t="s">
        <v>77</v>
      </c>
    </row>
    <row r="10" spans="1:6" ht="36" customHeight="1">
      <c r="A10" s="9" t="s">
        <v>78</v>
      </c>
      <c r="B10" s="1" t="s">
        <v>79</v>
      </c>
      <c r="D10" s="4" t="s">
        <v>80</v>
      </c>
      <c r="E10" s="1" t="s">
        <v>81</v>
      </c>
      <c r="F10" s="1" t="s">
        <v>82</v>
      </c>
    </row>
    <row r="11" spans="1:6" ht="36" customHeight="1">
      <c r="A11" s="9" t="s">
        <v>83</v>
      </c>
      <c r="B11" s="1" t="s">
        <v>84</v>
      </c>
      <c r="D11" s="4" t="s">
        <v>85</v>
      </c>
      <c r="E11" s="1" t="s">
        <v>81</v>
      </c>
      <c r="F11" s="1" t="s">
        <v>86</v>
      </c>
    </row>
    <row r="12" spans="1:6" ht="36" customHeight="1">
      <c r="A12" s="9" t="s">
        <v>87</v>
      </c>
      <c r="B12" s="1" t="s">
        <v>88</v>
      </c>
      <c r="D12" s="4" t="s">
        <v>89</v>
      </c>
      <c r="E12" s="1" t="s">
        <v>64</v>
      </c>
      <c r="F12" s="1" t="s">
        <v>90</v>
      </c>
    </row>
    <row r="13" spans="1:6" ht="36" customHeight="1">
      <c r="A13" s="9" t="s">
        <v>91</v>
      </c>
      <c r="B13" s="1" t="s">
        <v>92</v>
      </c>
      <c r="D13" s="4" t="s">
        <v>93</v>
      </c>
      <c r="E13" s="1" t="s">
        <v>64</v>
      </c>
      <c r="F13" s="1" t="s">
        <v>94</v>
      </c>
    </row>
    <row r="14" spans="1:6" ht="36" customHeight="1">
      <c r="A14" s="9" t="s">
        <v>95</v>
      </c>
      <c r="B14" s="1" t="s">
        <v>96</v>
      </c>
      <c r="D14" s="4" t="s">
        <v>97</v>
      </c>
      <c r="E14" s="1" t="s">
        <v>64</v>
      </c>
      <c r="F14" s="1" t="s">
        <v>98</v>
      </c>
    </row>
    <row r="15" spans="1:6" ht="36" customHeight="1">
      <c r="A15" s="9" t="s">
        <v>99</v>
      </c>
      <c r="B15" s="1" t="s">
        <v>100</v>
      </c>
      <c r="D15" s="4" t="s">
        <v>101</v>
      </c>
      <c r="E15" s="1" t="s">
        <v>64</v>
      </c>
      <c r="F15" s="1" t="s">
        <v>102</v>
      </c>
    </row>
    <row r="16" spans="1:6" ht="36" customHeight="1">
      <c r="A16" s="9" t="s">
        <v>103</v>
      </c>
      <c r="B16" s="1" t="s">
        <v>104</v>
      </c>
      <c r="D16" s="4" t="s">
        <v>105</v>
      </c>
      <c r="E16" s="1"/>
      <c r="F16" s="1"/>
    </row>
    <row r="17" spans="1:2" ht="36" customHeight="1">
      <c r="A17" s="9" t="s">
        <v>106</v>
      </c>
      <c r="B17" s="1" t="s">
        <v>107</v>
      </c>
    </row>
    <row r="18" spans="1:2" ht="36" customHeight="1">
      <c r="A18" s="9" t="s">
        <v>108</v>
      </c>
      <c r="B18" s="1" t="s">
        <v>109</v>
      </c>
    </row>
  </sheetData>
  <mergeCells count="2">
    <mergeCell ref="A1:F2"/>
    <mergeCell ref="D4:F4"/>
  </mergeCells>
  <dataValidations count="2">
    <dataValidation type="list" allowBlank="1" showErrorMessage="1" errorTitle="Choose from the list" error="Choose a value from the dropdown, or add a custom option on Customize Lists." sqref="B7" xr:uid="{00000000-0002-0000-0100-000000000000}">
      <formula1>INDIRECT("'Customize Lists'!$A$7:$A$19")</formula1>
    </dataValidation>
    <dataValidation type="list" allowBlank="1" showErrorMessage="1" errorTitle="Choose from the list" error="Choose a value from the dropdown, or add a custom option on Customize Lists." sqref="E6:E16" xr:uid="{00000000-0002-0000-0100-000001000000}">
      <formula1>INDIRECT("'Customize Lists'!$C$7:$C$13")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workbookViewId="0">
      <selection activeCell="C8" sqref="C8"/>
    </sheetView>
  </sheetViews>
  <sheetFormatPr defaultRowHeight="14.25"/>
  <cols>
    <col min="1" max="1" width="40" customWidth="1"/>
    <col min="2" max="2" width="28" customWidth="1"/>
    <col min="3" max="3" width="16" customWidth="1"/>
    <col min="4" max="4" width="44" customWidth="1"/>
    <col min="5" max="5" width="3" customWidth="1"/>
    <col min="6" max="6" width="24" customWidth="1"/>
    <col min="7" max="7" width="64" customWidth="1"/>
    <col min="8" max="8" width="40" customWidth="1"/>
  </cols>
  <sheetData>
    <row r="1" spans="1:8" ht="32.1" customHeight="1">
      <c r="A1" s="19" t="s">
        <v>110</v>
      </c>
      <c r="B1" s="20"/>
      <c r="C1" s="20"/>
      <c r="D1" s="20"/>
      <c r="E1" s="20"/>
      <c r="F1" s="20"/>
      <c r="G1" s="20"/>
      <c r="H1" s="20"/>
    </row>
    <row r="2" spans="1:8" ht="32.1" customHeight="1">
      <c r="A2" s="20"/>
      <c r="B2" s="20"/>
      <c r="C2" s="20"/>
      <c r="D2" s="20"/>
      <c r="E2" s="20"/>
      <c r="F2" s="20"/>
      <c r="G2" s="20"/>
      <c r="H2" s="20"/>
    </row>
    <row r="3" spans="1:8" ht="38.1" customHeight="1">
      <c r="A3" s="30" t="s">
        <v>111</v>
      </c>
      <c r="B3" s="31"/>
      <c r="C3" s="31"/>
      <c r="D3" s="31"/>
      <c r="E3" s="31"/>
      <c r="F3" s="31"/>
      <c r="G3" s="31"/>
      <c r="H3" s="31"/>
    </row>
    <row r="5" spans="1:8" ht="33.950000000000003" customHeight="1">
      <c r="A5" s="12" t="s">
        <v>112</v>
      </c>
      <c r="B5" s="12" t="s">
        <v>113</v>
      </c>
      <c r="C5" s="12" t="s">
        <v>114</v>
      </c>
      <c r="D5" s="12" t="s">
        <v>115</v>
      </c>
      <c r="F5" s="12" t="s">
        <v>116</v>
      </c>
      <c r="G5" s="12" t="s">
        <v>117</v>
      </c>
      <c r="H5" s="12" t="s">
        <v>118</v>
      </c>
    </row>
    <row r="6" spans="1:8" ht="28.5">
      <c r="A6" s="13" t="s">
        <v>119</v>
      </c>
      <c r="B6" s="13" t="s">
        <v>120</v>
      </c>
      <c r="C6" s="1"/>
      <c r="D6" s="1"/>
      <c r="F6" s="13" t="s">
        <v>121</v>
      </c>
      <c r="G6" s="13" t="s">
        <v>30</v>
      </c>
      <c r="H6" s="13" t="s">
        <v>122</v>
      </c>
    </row>
    <row r="7" spans="1:8" ht="28.5">
      <c r="A7" s="13" t="s">
        <v>123</v>
      </c>
      <c r="B7" s="13" t="s">
        <v>120</v>
      </c>
      <c r="C7" s="1"/>
      <c r="D7" s="1"/>
      <c r="F7" s="13" t="s">
        <v>124</v>
      </c>
      <c r="G7" s="13" t="s">
        <v>30</v>
      </c>
      <c r="H7" s="1" t="s">
        <v>125</v>
      </c>
    </row>
    <row r="8" spans="1:8" ht="28.5">
      <c r="A8" s="13" t="s">
        <v>126</v>
      </c>
      <c r="B8" s="13" t="s">
        <v>120</v>
      </c>
      <c r="C8" s="1"/>
      <c r="D8" s="1"/>
      <c r="F8" s="13" t="s">
        <v>127</v>
      </c>
      <c r="G8" s="13" t="s">
        <v>128</v>
      </c>
      <c r="H8" s="13" t="s">
        <v>129</v>
      </c>
    </row>
    <row r="9" spans="1:8">
      <c r="A9" s="13" t="s">
        <v>130</v>
      </c>
      <c r="B9" s="13" t="s">
        <v>120</v>
      </c>
      <c r="C9" s="1"/>
      <c r="D9" s="1"/>
      <c r="F9" s="13"/>
      <c r="G9" s="13"/>
      <c r="H9" s="1"/>
    </row>
    <row r="10" spans="1:8">
      <c r="A10" s="13" t="s">
        <v>131</v>
      </c>
      <c r="B10" s="13" t="s">
        <v>120</v>
      </c>
      <c r="C10" s="1"/>
      <c r="D10" s="1"/>
      <c r="F10" s="1"/>
      <c r="G10" s="1"/>
      <c r="H10" s="1"/>
    </row>
    <row r="11" spans="1:8">
      <c r="A11" s="1" t="s">
        <v>132</v>
      </c>
      <c r="B11" s="1" t="s">
        <v>120</v>
      </c>
      <c r="C11" s="1"/>
      <c r="D11" s="1"/>
      <c r="F11" s="1"/>
      <c r="G11" s="1"/>
      <c r="H11" s="1"/>
    </row>
    <row r="12" spans="1:8">
      <c r="A12" s="1" t="s">
        <v>133</v>
      </c>
      <c r="B12" s="1" t="s">
        <v>120</v>
      </c>
      <c r="C12" s="1"/>
      <c r="D12" s="1"/>
      <c r="F12" s="1"/>
      <c r="G12" s="1"/>
      <c r="H12" s="1"/>
    </row>
    <row r="13" spans="1:8">
      <c r="A13" s="1" t="s">
        <v>134</v>
      </c>
      <c r="B13" s="1" t="s">
        <v>135</v>
      </c>
      <c r="C13" s="1"/>
      <c r="D13" s="1"/>
      <c r="F13" s="1"/>
      <c r="G13" s="1"/>
      <c r="H13" s="1"/>
    </row>
    <row r="14" spans="1:8">
      <c r="A14" s="1" t="s">
        <v>136</v>
      </c>
      <c r="B14" s="1" t="s">
        <v>135</v>
      </c>
      <c r="C14" s="1"/>
      <c r="D14" s="1"/>
    </row>
    <row r="15" spans="1:8">
      <c r="A15" s="1" t="s">
        <v>137</v>
      </c>
      <c r="B15" s="1" t="s">
        <v>135</v>
      </c>
      <c r="C15" s="1"/>
      <c r="D15" s="1"/>
    </row>
    <row r="16" spans="1:8">
      <c r="A16" s="1" t="s">
        <v>138</v>
      </c>
      <c r="B16" s="1" t="s">
        <v>135</v>
      </c>
      <c r="C16" s="1"/>
      <c r="D16" s="1"/>
    </row>
    <row r="17" spans="1:4">
      <c r="A17" s="1" t="s">
        <v>139</v>
      </c>
      <c r="B17" s="1" t="s">
        <v>135</v>
      </c>
      <c r="C17" s="1"/>
      <c r="D17" s="1"/>
    </row>
    <row r="18" spans="1:4">
      <c r="A18" s="1" t="s">
        <v>140</v>
      </c>
      <c r="B18" s="1" t="s">
        <v>135</v>
      </c>
      <c r="C18" s="1"/>
      <c r="D18" s="1"/>
    </row>
    <row r="19" spans="1:4">
      <c r="A19" s="1" t="s">
        <v>141</v>
      </c>
      <c r="B19" s="1" t="s">
        <v>135</v>
      </c>
      <c r="C19" s="1"/>
      <c r="D19" s="1"/>
    </row>
    <row r="20" spans="1:4">
      <c r="A20" s="1" t="s">
        <v>142</v>
      </c>
      <c r="B20" s="1" t="s">
        <v>135</v>
      </c>
      <c r="C20" s="1"/>
      <c r="D20" s="1"/>
    </row>
    <row r="21" spans="1:4">
      <c r="A21" s="1" t="s">
        <v>143</v>
      </c>
      <c r="B21" s="1" t="s">
        <v>144</v>
      </c>
      <c r="C21" s="1"/>
      <c r="D21" s="1"/>
    </row>
    <row r="22" spans="1:4">
      <c r="A22" s="1" t="s">
        <v>145</v>
      </c>
      <c r="B22" s="1" t="s">
        <v>144</v>
      </c>
      <c r="C22" s="1"/>
      <c r="D22" s="1"/>
    </row>
    <row r="23" spans="1:4">
      <c r="A23" s="1" t="s">
        <v>146</v>
      </c>
      <c r="B23" s="1" t="s">
        <v>144</v>
      </c>
      <c r="C23" s="1"/>
      <c r="D23" s="1"/>
    </row>
    <row r="24" spans="1:4">
      <c r="A24" s="1" t="s">
        <v>147</v>
      </c>
      <c r="B24" s="1" t="s">
        <v>144</v>
      </c>
      <c r="C24" s="1"/>
      <c r="D24" s="1"/>
    </row>
    <row r="25" spans="1:4">
      <c r="A25" s="1" t="s">
        <v>148</v>
      </c>
      <c r="B25" s="1" t="s">
        <v>144</v>
      </c>
      <c r="C25" s="1"/>
      <c r="D25" s="1"/>
    </row>
    <row r="26" spans="1:4">
      <c r="A26" s="1" t="s">
        <v>149</v>
      </c>
      <c r="B26" s="1" t="s">
        <v>144</v>
      </c>
      <c r="C26" s="1"/>
      <c r="D26" s="1"/>
    </row>
    <row r="27" spans="1:4">
      <c r="A27" s="1" t="s">
        <v>150</v>
      </c>
      <c r="B27" s="1" t="s">
        <v>144</v>
      </c>
      <c r="C27" s="1"/>
      <c r="D27" s="1"/>
    </row>
    <row r="28" spans="1:4">
      <c r="A28" s="1" t="s">
        <v>151</v>
      </c>
      <c r="B28" s="1" t="s">
        <v>144</v>
      </c>
      <c r="C28" s="1"/>
      <c r="D28" s="1"/>
    </row>
    <row r="29" spans="1:4">
      <c r="A29" s="1" t="s">
        <v>152</v>
      </c>
      <c r="B29" s="1" t="s">
        <v>144</v>
      </c>
      <c r="C29" s="1"/>
      <c r="D29" s="1"/>
    </row>
    <row r="30" spans="1:4">
      <c r="A30" s="1" t="s">
        <v>153</v>
      </c>
      <c r="B30" s="1" t="s">
        <v>144</v>
      </c>
      <c r="C30" s="1"/>
      <c r="D30" s="1"/>
    </row>
    <row r="31" spans="1:4">
      <c r="A31" s="1" t="s">
        <v>154</v>
      </c>
      <c r="B31" s="1" t="s">
        <v>144</v>
      </c>
      <c r="C31" s="1"/>
      <c r="D31" s="1"/>
    </row>
    <row r="32" spans="1:4">
      <c r="A32" s="1" t="s">
        <v>155</v>
      </c>
      <c r="B32" s="1" t="s">
        <v>156</v>
      </c>
      <c r="C32" s="1"/>
      <c r="D32" s="1"/>
    </row>
    <row r="33" spans="1:4">
      <c r="A33" s="1" t="s">
        <v>157</v>
      </c>
      <c r="B33" s="1" t="s">
        <v>156</v>
      </c>
      <c r="C33" s="1"/>
      <c r="D33" s="1"/>
    </row>
    <row r="34" spans="1:4">
      <c r="A34" s="1" t="s">
        <v>158</v>
      </c>
      <c r="B34" s="1" t="s">
        <v>156</v>
      </c>
      <c r="C34" s="1"/>
      <c r="D34" s="1"/>
    </row>
    <row r="35" spans="1:4">
      <c r="A35" s="1" t="s">
        <v>159</v>
      </c>
      <c r="B35" s="1" t="s">
        <v>156</v>
      </c>
      <c r="C35" s="1"/>
      <c r="D35" s="1"/>
    </row>
    <row r="36" spans="1:4">
      <c r="A36" s="1" t="s">
        <v>160</v>
      </c>
      <c r="B36" s="1" t="s">
        <v>156</v>
      </c>
      <c r="C36" s="1"/>
      <c r="D36" s="1"/>
    </row>
    <row r="37" spans="1:4">
      <c r="A37" s="1" t="s">
        <v>161</v>
      </c>
      <c r="B37" s="1" t="s">
        <v>156</v>
      </c>
      <c r="C37" s="1"/>
      <c r="D37" s="1"/>
    </row>
    <row r="38" spans="1:4">
      <c r="A38" s="1" t="s">
        <v>162</v>
      </c>
      <c r="B38" s="1" t="s">
        <v>156</v>
      </c>
      <c r="C38" s="1"/>
      <c r="D38" s="1"/>
    </row>
    <row r="39" spans="1:4">
      <c r="A39" s="1" t="s">
        <v>163</v>
      </c>
      <c r="B39" s="1" t="s">
        <v>156</v>
      </c>
      <c r="C39" s="1"/>
      <c r="D39" s="1"/>
    </row>
    <row r="40" spans="1:4">
      <c r="A40" s="1" t="s">
        <v>164</v>
      </c>
      <c r="B40" s="1" t="s">
        <v>156</v>
      </c>
      <c r="C40" s="1"/>
      <c r="D40" s="1"/>
    </row>
    <row r="41" spans="1:4">
      <c r="A41" s="1" t="s">
        <v>165</v>
      </c>
      <c r="B41" s="1" t="s">
        <v>156</v>
      </c>
      <c r="C41" s="1"/>
      <c r="D41" s="1"/>
    </row>
    <row r="42" spans="1:4" ht="28.5">
      <c r="A42" s="1" t="s">
        <v>166</v>
      </c>
      <c r="B42" s="1" t="s">
        <v>167</v>
      </c>
      <c r="C42" s="1"/>
      <c r="D42" s="1"/>
    </row>
    <row r="43" spans="1:4">
      <c r="A43" s="1" t="s">
        <v>168</v>
      </c>
      <c r="B43" s="1" t="s">
        <v>167</v>
      </c>
      <c r="C43" s="1"/>
      <c r="D43" s="1"/>
    </row>
    <row r="44" spans="1:4">
      <c r="A44" s="1" t="s">
        <v>169</v>
      </c>
      <c r="B44" s="1" t="s">
        <v>170</v>
      </c>
      <c r="C44" s="1"/>
      <c r="D44" s="1"/>
    </row>
    <row r="45" spans="1:4">
      <c r="A45" s="1" t="s">
        <v>171</v>
      </c>
      <c r="B45" s="1" t="s">
        <v>170</v>
      </c>
      <c r="C45" s="1"/>
      <c r="D45" s="1"/>
    </row>
    <row r="46" spans="1:4">
      <c r="A46" s="1" t="s">
        <v>172</v>
      </c>
      <c r="B46" s="1" t="s">
        <v>170</v>
      </c>
      <c r="C46" s="1"/>
      <c r="D46" s="1"/>
    </row>
    <row r="47" spans="1:4">
      <c r="A47" s="1" t="s">
        <v>173</v>
      </c>
      <c r="B47" s="1" t="s">
        <v>170</v>
      </c>
      <c r="C47" s="1"/>
      <c r="D47" s="1"/>
    </row>
    <row r="48" spans="1:4">
      <c r="A48" s="1" t="s">
        <v>174</v>
      </c>
      <c r="B48" s="1" t="s">
        <v>170</v>
      </c>
      <c r="C48" s="1"/>
      <c r="D48" s="1"/>
    </row>
    <row r="49" spans="1:4">
      <c r="A49" s="1" t="s">
        <v>175</v>
      </c>
      <c r="B49" s="1" t="s">
        <v>176</v>
      </c>
      <c r="C49" s="1"/>
      <c r="D49" s="1"/>
    </row>
    <row r="50" spans="1:4">
      <c r="A50" s="1" t="s">
        <v>177</v>
      </c>
      <c r="B50" s="1" t="s">
        <v>176</v>
      </c>
      <c r="C50" s="1"/>
      <c r="D50" s="1"/>
    </row>
    <row r="51" spans="1:4">
      <c r="A51" s="1" t="s">
        <v>178</v>
      </c>
      <c r="B51" s="1" t="s">
        <v>176</v>
      </c>
      <c r="C51" s="1"/>
      <c r="D51" s="1"/>
    </row>
    <row r="52" spans="1:4">
      <c r="A52" s="1" t="s">
        <v>179</v>
      </c>
      <c r="B52" s="1" t="s">
        <v>176</v>
      </c>
      <c r="C52" s="1"/>
      <c r="D52" s="1"/>
    </row>
    <row r="53" spans="1:4">
      <c r="A53" s="1" t="s">
        <v>180</v>
      </c>
      <c r="B53" s="1" t="s">
        <v>176</v>
      </c>
      <c r="C53" s="1"/>
      <c r="D53" s="1"/>
    </row>
    <row r="54" spans="1:4">
      <c r="A54" s="1" t="s">
        <v>181</v>
      </c>
      <c r="B54" s="1" t="s">
        <v>176</v>
      </c>
      <c r="C54" s="1"/>
      <c r="D54" s="1"/>
    </row>
    <row r="55" spans="1:4">
      <c r="A55" s="1" t="s">
        <v>182</v>
      </c>
      <c r="B55" s="1" t="s">
        <v>176</v>
      </c>
      <c r="C55" s="1"/>
      <c r="D55" s="1"/>
    </row>
    <row r="56" spans="1:4">
      <c r="A56" s="1" t="s">
        <v>183</v>
      </c>
      <c r="B56" s="1" t="s">
        <v>176</v>
      </c>
      <c r="C56" s="1"/>
      <c r="D56" s="1"/>
    </row>
    <row r="57" spans="1:4">
      <c r="A57" s="1" t="s">
        <v>184</v>
      </c>
      <c r="B57" s="1" t="s">
        <v>185</v>
      </c>
      <c r="C57" s="1"/>
      <c r="D57" s="1"/>
    </row>
    <row r="58" spans="1:4">
      <c r="A58" s="1" t="s">
        <v>186</v>
      </c>
      <c r="B58" s="1" t="s">
        <v>185</v>
      </c>
      <c r="C58" s="1"/>
      <c r="D58" s="1"/>
    </row>
    <row r="59" spans="1:4">
      <c r="A59" s="1" t="s">
        <v>187</v>
      </c>
      <c r="B59" s="1" t="s">
        <v>185</v>
      </c>
      <c r="C59" s="1"/>
      <c r="D59" s="1"/>
    </row>
    <row r="60" spans="1:4">
      <c r="A60" s="1" t="s">
        <v>188</v>
      </c>
      <c r="B60" s="1" t="s">
        <v>185</v>
      </c>
      <c r="C60" s="1"/>
      <c r="D60" s="1"/>
    </row>
    <row r="61" spans="1:4">
      <c r="A61" s="1" t="s">
        <v>189</v>
      </c>
      <c r="B61" s="1" t="s">
        <v>185</v>
      </c>
      <c r="C61" s="1"/>
      <c r="D61" s="1"/>
    </row>
    <row r="62" spans="1:4">
      <c r="A62" s="1" t="s">
        <v>190</v>
      </c>
      <c r="B62" s="1" t="s">
        <v>185</v>
      </c>
      <c r="C62" s="1"/>
      <c r="D62" s="1"/>
    </row>
    <row r="63" spans="1:4">
      <c r="A63" s="1" t="s">
        <v>191</v>
      </c>
      <c r="B63" s="1" t="s">
        <v>185</v>
      </c>
      <c r="C63" s="1"/>
      <c r="D63" s="1"/>
    </row>
    <row r="64" spans="1:4">
      <c r="A64" s="1" t="s">
        <v>192</v>
      </c>
      <c r="B64" s="1" t="s">
        <v>185</v>
      </c>
      <c r="C64" s="1"/>
      <c r="D64" s="1"/>
    </row>
    <row r="65" spans="1:4">
      <c r="A65" s="1" t="s">
        <v>193</v>
      </c>
      <c r="B65" s="1" t="s">
        <v>185</v>
      </c>
      <c r="C65" s="1"/>
      <c r="D65" s="1"/>
    </row>
    <row r="66" spans="1:4">
      <c r="A66" s="1" t="s">
        <v>194</v>
      </c>
      <c r="B66" s="1" t="s">
        <v>185</v>
      </c>
      <c r="C66" s="1"/>
      <c r="D66" s="1"/>
    </row>
    <row r="67" spans="1:4">
      <c r="A67" s="1" t="s">
        <v>195</v>
      </c>
      <c r="B67" s="1" t="s">
        <v>185</v>
      </c>
      <c r="C67" s="1"/>
      <c r="D67" s="1"/>
    </row>
    <row r="68" spans="1:4">
      <c r="A68" s="1" t="s">
        <v>196</v>
      </c>
      <c r="B68" s="1" t="s">
        <v>197</v>
      </c>
      <c r="C68" s="1"/>
      <c r="D68" s="1"/>
    </row>
    <row r="69" spans="1:4">
      <c r="A69" s="1" t="s">
        <v>198</v>
      </c>
      <c r="B69" s="1" t="s">
        <v>197</v>
      </c>
      <c r="C69" s="1"/>
      <c r="D69" s="1"/>
    </row>
    <row r="70" spans="1:4">
      <c r="A70" s="1" t="s">
        <v>199</v>
      </c>
      <c r="B70" s="1" t="s">
        <v>197</v>
      </c>
      <c r="C70" s="1"/>
      <c r="D70" s="1"/>
    </row>
    <row r="71" spans="1:4">
      <c r="A71" s="1" t="s">
        <v>200</v>
      </c>
      <c r="B71" s="1" t="s">
        <v>197</v>
      </c>
      <c r="C71" s="1"/>
      <c r="D71" s="1"/>
    </row>
    <row r="72" spans="1:4">
      <c r="A72" s="1" t="s">
        <v>201</v>
      </c>
      <c r="B72" s="1" t="s">
        <v>202</v>
      </c>
      <c r="C72" s="1"/>
      <c r="D72" s="1"/>
    </row>
    <row r="73" spans="1:4">
      <c r="A73" s="1" t="s">
        <v>203</v>
      </c>
      <c r="B73" s="1" t="s">
        <v>202</v>
      </c>
      <c r="C73" s="1"/>
      <c r="D73" s="1"/>
    </row>
    <row r="74" spans="1:4">
      <c r="A74" s="1" t="s">
        <v>204</v>
      </c>
      <c r="B74" s="1" t="s">
        <v>202</v>
      </c>
      <c r="C74" s="1"/>
      <c r="D74" s="1"/>
    </row>
    <row r="75" spans="1:4">
      <c r="A75" s="1" t="s">
        <v>205</v>
      </c>
      <c r="B75" s="1" t="s">
        <v>202</v>
      </c>
      <c r="C75" s="1"/>
      <c r="D75" s="1"/>
    </row>
    <row r="76" spans="1:4">
      <c r="A76" s="1" t="s">
        <v>206</v>
      </c>
      <c r="B76" s="1" t="s">
        <v>207</v>
      </c>
      <c r="C76" s="1"/>
      <c r="D76" s="1"/>
    </row>
    <row r="77" spans="1:4">
      <c r="A77" s="1" t="s">
        <v>208</v>
      </c>
      <c r="B77" s="1" t="s">
        <v>207</v>
      </c>
      <c r="C77" s="1"/>
      <c r="D77" s="1"/>
    </row>
    <row r="78" spans="1:4">
      <c r="A78" s="1" t="s">
        <v>209</v>
      </c>
      <c r="B78" s="1" t="s">
        <v>207</v>
      </c>
      <c r="C78" s="1"/>
      <c r="D78" s="1"/>
    </row>
    <row r="79" spans="1:4">
      <c r="A79" s="1" t="s">
        <v>210</v>
      </c>
      <c r="B79" s="1" t="s">
        <v>207</v>
      </c>
      <c r="C79" s="1"/>
      <c r="D79" s="1"/>
    </row>
    <row r="80" spans="1:4">
      <c r="A80" s="1" t="s">
        <v>211</v>
      </c>
      <c r="B80" s="1" t="s">
        <v>212</v>
      </c>
      <c r="C80" s="1"/>
      <c r="D80" s="1"/>
    </row>
    <row r="81" spans="1:4">
      <c r="A81" s="1" t="s">
        <v>213</v>
      </c>
      <c r="B81" s="1" t="s">
        <v>212</v>
      </c>
      <c r="C81" s="1"/>
      <c r="D81" s="1"/>
    </row>
    <row r="82" spans="1:4">
      <c r="A82" s="1" t="s">
        <v>214</v>
      </c>
      <c r="B82" s="1" t="s">
        <v>212</v>
      </c>
      <c r="C82" s="1"/>
      <c r="D82" s="1"/>
    </row>
    <row r="83" spans="1:4">
      <c r="A83" s="1" t="s">
        <v>215</v>
      </c>
      <c r="B83" s="1" t="s">
        <v>216</v>
      </c>
      <c r="C83" s="1"/>
      <c r="D83" s="1"/>
    </row>
    <row r="84" spans="1:4">
      <c r="A84" s="1" t="s">
        <v>217</v>
      </c>
      <c r="B84" s="1" t="s">
        <v>216</v>
      </c>
      <c r="C84" s="1"/>
      <c r="D84" s="1"/>
    </row>
    <row r="85" spans="1:4">
      <c r="A85" s="1" t="s">
        <v>218</v>
      </c>
      <c r="B85" s="1" t="s">
        <v>219</v>
      </c>
      <c r="C85" s="1"/>
      <c r="D85" s="1"/>
    </row>
    <row r="86" spans="1:4">
      <c r="A86" s="1" t="s">
        <v>220</v>
      </c>
      <c r="B86" s="1" t="s">
        <v>219</v>
      </c>
      <c r="C86" s="1"/>
      <c r="D86" s="1"/>
    </row>
    <row r="87" spans="1:4">
      <c r="A87" s="1" t="s">
        <v>221</v>
      </c>
      <c r="B87" s="1" t="s">
        <v>222</v>
      </c>
      <c r="C87" s="1"/>
      <c r="D87" s="1"/>
    </row>
    <row r="88" spans="1:4">
      <c r="A88" s="1" t="s">
        <v>223</v>
      </c>
      <c r="B88" s="1" t="s">
        <v>224</v>
      </c>
      <c r="C88" s="1"/>
      <c r="D88" s="1"/>
    </row>
  </sheetData>
  <mergeCells count="2">
    <mergeCell ref="A1:H2"/>
    <mergeCell ref="A3:H3"/>
  </mergeCells>
  <dataValidations count="1">
    <dataValidation type="list" allowBlank="1" showErrorMessage="1" errorTitle="Choose from the list" error="Choose a value from the dropdown, or add a custom option on Customize Lists." sqref="C6:C88" xr:uid="{00000000-0002-0000-0200-000000000000}">
      <formula1>INDIRECT("'Customize Lists'!$E$7:$E$14")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0"/>
  <sheetViews>
    <sheetView workbookViewId="0">
      <selection sqref="A1:V2"/>
    </sheetView>
  </sheetViews>
  <sheetFormatPr defaultRowHeight="14.25"/>
  <cols>
    <col min="1" max="1" width="12" customWidth="1"/>
    <col min="2" max="2" width="18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  <col min="8" max="8" width="11" customWidth="1"/>
    <col min="9" max="9" width="14" customWidth="1"/>
    <col min="10" max="10" width="13" customWidth="1"/>
    <col min="11" max="11" width="11" customWidth="1"/>
    <col min="12" max="12" width="13" customWidth="1"/>
    <col min="13" max="14" width="15" customWidth="1"/>
    <col min="15" max="15" width="12" customWidth="1"/>
    <col min="16" max="16" width="15" customWidth="1"/>
    <col min="17" max="17" width="14" customWidth="1"/>
    <col min="18" max="18" width="24" customWidth="1"/>
    <col min="19" max="19" width="18" customWidth="1"/>
    <col min="20" max="21" width="22" customWidth="1"/>
    <col min="22" max="22" width="48" customWidth="1"/>
  </cols>
  <sheetData>
    <row r="1" spans="1:22" ht="32.1" customHeight="1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>
      <c r="A3" s="30" t="s">
        <v>225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5" spans="1:22" ht="33.950000000000003" customHeight="1">
      <c r="A5" s="12" t="s">
        <v>226</v>
      </c>
      <c r="B5" s="12" t="s">
        <v>227</v>
      </c>
      <c r="C5" s="12" t="s">
        <v>228</v>
      </c>
      <c r="D5" s="12" t="s">
        <v>229</v>
      </c>
      <c r="E5" s="12" t="s">
        <v>230</v>
      </c>
      <c r="F5" s="12" t="s">
        <v>231</v>
      </c>
      <c r="G5" s="12" t="s">
        <v>232</v>
      </c>
      <c r="H5" s="12" t="s">
        <v>233</v>
      </c>
      <c r="I5" s="12" t="s">
        <v>234</v>
      </c>
      <c r="J5" s="12" t="s">
        <v>235</v>
      </c>
      <c r="K5" s="12" t="s">
        <v>236</v>
      </c>
      <c r="L5" s="12" t="s">
        <v>237</v>
      </c>
      <c r="M5" s="12" t="s">
        <v>238</v>
      </c>
      <c r="N5" s="12" t="s">
        <v>239</v>
      </c>
      <c r="O5" s="12" t="s">
        <v>240</v>
      </c>
      <c r="P5" s="12" t="s">
        <v>241</v>
      </c>
      <c r="Q5" s="12" t="s">
        <v>242</v>
      </c>
      <c r="R5" s="12" t="s">
        <v>243</v>
      </c>
      <c r="S5" s="12" t="s">
        <v>244</v>
      </c>
      <c r="T5" s="12" t="s">
        <v>245</v>
      </c>
      <c r="U5" s="12" t="s">
        <v>246</v>
      </c>
      <c r="V5" s="12" t="s">
        <v>61</v>
      </c>
    </row>
    <row r="6" spans="1:22">
      <c r="A6" s="3">
        <v>46275</v>
      </c>
      <c r="B6" s="1" t="s">
        <v>247</v>
      </c>
      <c r="C6" s="1">
        <v>3</v>
      </c>
      <c r="D6" s="1">
        <v>2</v>
      </c>
      <c r="E6" s="1">
        <v>4</v>
      </c>
      <c r="F6" s="1">
        <v>6</v>
      </c>
      <c r="G6" s="1">
        <v>2</v>
      </c>
      <c r="H6" s="1">
        <v>7.2</v>
      </c>
      <c r="I6" s="1">
        <v>7</v>
      </c>
      <c r="J6" s="1">
        <v>8</v>
      </c>
      <c r="K6" s="1">
        <v>4</v>
      </c>
      <c r="L6" s="1">
        <v>1</v>
      </c>
      <c r="M6" s="1">
        <v>2</v>
      </c>
      <c r="N6" s="1">
        <v>3</v>
      </c>
      <c r="O6" s="1">
        <v>2</v>
      </c>
      <c r="P6" s="1">
        <v>2</v>
      </c>
      <c r="Q6" s="1" t="s">
        <v>81</v>
      </c>
      <c r="R6" s="1"/>
      <c r="S6" s="1" t="s">
        <v>81</v>
      </c>
      <c r="T6" s="1" t="s">
        <v>64</v>
      </c>
      <c r="U6" s="1" t="s">
        <v>248</v>
      </c>
      <c r="V6" s="1"/>
    </row>
    <row r="7" spans="1:22">
      <c r="A7" s="3">
        <v>46276</v>
      </c>
      <c r="B7" s="1" t="s">
        <v>247</v>
      </c>
      <c r="C7" s="1">
        <v>3</v>
      </c>
      <c r="D7" s="1">
        <v>2</v>
      </c>
      <c r="E7" s="1">
        <v>4</v>
      </c>
      <c r="F7" s="1">
        <v>6</v>
      </c>
      <c r="G7" s="1">
        <v>2</v>
      </c>
      <c r="H7" s="1">
        <v>7</v>
      </c>
      <c r="I7" s="1">
        <v>7</v>
      </c>
      <c r="J7" s="1">
        <v>8</v>
      </c>
      <c r="K7" s="1">
        <v>4</v>
      </c>
      <c r="L7" s="1">
        <v>1</v>
      </c>
      <c r="M7" s="1">
        <v>2</v>
      </c>
      <c r="N7" s="1">
        <v>3</v>
      </c>
      <c r="O7" s="1">
        <v>2</v>
      </c>
      <c r="P7" s="1">
        <v>2</v>
      </c>
      <c r="Q7" s="1" t="s">
        <v>81</v>
      </c>
      <c r="R7" s="1"/>
      <c r="S7" s="1" t="s">
        <v>81</v>
      </c>
      <c r="T7" s="1" t="s">
        <v>64</v>
      </c>
      <c r="U7" s="1" t="s">
        <v>248</v>
      </c>
      <c r="V7" s="1"/>
    </row>
    <row r="8" spans="1:22">
      <c r="A8" s="3">
        <v>46277</v>
      </c>
      <c r="B8" s="1" t="s">
        <v>247</v>
      </c>
      <c r="C8" s="1">
        <v>4</v>
      </c>
      <c r="D8" s="1">
        <v>3</v>
      </c>
      <c r="E8" s="1">
        <v>5</v>
      </c>
      <c r="F8" s="1">
        <v>5</v>
      </c>
      <c r="G8" s="1">
        <v>3</v>
      </c>
      <c r="H8" s="1">
        <v>6.5</v>
      </c>
      <c r="I8" s="1">
        <v>6</v>
      </c>
      <c r="J8" s="1">
        <v>7</v>
      </c>
      <c r="K8" s="1">
        <v>5</v>
      </c>
      <c r="L8" s="1">
        <v>1</v>
      </c>
      <c r="M8" s="1">
        <v>2</v>
      </c>
      <c r="N8" s="1">
        <v>4</v>
      </c>
      <c r="O8" s="1">
        <v>2</v>
      </c>
      <c r="P8" s="1">
        <v>2</v>
      </c>
      <c r="Q8" s="1" t="s">
        <v>81</v>
      </c>
      <c r="R8" s="1"/>
      <c r="S8" s="1" t="s">
        <v>81</v>
      </c>
      <c r="T8" s="1" t="s">
        <v>64</v>
      </c>
      <c r="U8" s="1" t="s">
        <v>248</v>
      </c>
      <c r="V8" s="1"/>
    </row>
    <row r="9" spans="1:22">
      <c r="A9" s="3">
        <v>46278</v>
      </c>
      <c r="B9" s="1" t="s">
        <v>247</v>
      </c>
      <c r="C9" s="1">
        <v>3</v>
      </c>
      <c r="D9" s="1">
        <v>2</v>
      </c>
      <c r="E9" s="1">
        <v>4</v>
      </c>
      <c r="F9" s="1">
        <v>6</v>
      </c>
      <c r="G9" s="1">
        <v>2</v>
      </c>
      <c r="H9" s="1">
        <v>7.5</v>
      </c>
      <c r="I9" s="1">
        <v>8</v>
      </c>
      <c r="J9" s="1">
        <v>8</v>
      </c>
      <c r="K9" s="1">
        <v>3</v>
      </c>
      <c r="L9" s="1">
        <v>1</v>
      </c>
      <c r="M9" s="1">
        <v>1</v>
      </c>
      <c r="N9" s="1">
        <v>3</v>
      </c>
      <c r="O9" s="1">
        <v>2</v>
      </c>
      <c r="P9" s="1">
        <v>1</v>
      </c>
      <c r="Q9" s="1" t="s">
        <v>81</v>
      </c>
      <c r="R9" s="1"/>
      <c r="S9" s="1" t="s">
        <v>81</v>
      </c>
      <c r="T9" s="1" t="s">
        <v>64</v>
      </c>
      <c r="U9" s="1" t="s">
        <v>248</v>
      </c>
      <c r="V9" s="1"/>
    </row>
    <row r="10" spans="1:22">
      <c r="A10" s="3">
        <v>46279</v>
      </c>
      <c r="B10" s="1" t="s">
        <v>247</v>
      </c>
      <c r="C10" s="1">
        <v>3</v>
      </c>
      <c r="D10" s="1">
        <v>2</v>
      </c>
      <c r="E10" s="1">
        <v>4</v>
      </c>
      <c r="F10" s="1">
        <v>6</v>
      </c>
      <c r="G10" s="1">
        <v>2</v>
      </c>
      <c r="H10" s="1">
        <v>7.3</v>
      </c>
      <c r="I10" s="1">
        <v>7</v>
      </c>
      <c r="J10" s="1">
        <v>8</v>
      </c>
      <c r="K10" s="1">
        <v>4</v>
      </c>
      <c r="L10" s="1">
        <v>1</v>
      </c>
      <c r="M10" s="1">
        <v>2</v>
      </c>
      <c r="N10" s="1">
        <v>3</v>
      </c>
      <c r="O10" s="1">
        <v>2</v>
      </c>
      <c r="P10" s="1">
        <v>2</v>
      </c>
      <c r="Q10" s="1" t="s">
        <v>81</v>
      </c>
      <c r="R10" s="1"/>
      <c r="S10" s="1" t="s">
        <v>81</v>
      </c>
      <c r="T10" s="1" t="s">
        <v>64</v>
      </c>
      <c r="U10" s="1" t="s">
        <v>248</v>
      </c>
      <c r="V10" s="1"/>
    </row>
    <row r="11" spans="1:22">
      <c r="A11" s="3">
        <v>46280</v>
      </c>
      <c r="B11" s="1" t="s">
        <v>247</v>
      </c>
      <c r="C11" s="1">
        <v>4</v>
      </c>
      <c r="D11" s="1">
        <v>3</v>
      </c>
      <c r="E11" s="1">
        <v>5</v>
      </c>
      <c r="F11" s="1">
        <v>5</v>
      </c>
      <c r="G11" s="1">
        <v>3</v>
      </c>
      <c r="H11" s="1">
        <v>6.8</v>
      </c>
      <c r="I11" s="1">
        <v>6</v>
      </c>
      <c r="J11" s="1">
        <v>7</v>
      </c>
      <c r="K11" s="1">
        <v>6</v>
      </c>
      <c r="L11" s="1">
        <v>2</v>
      </c>
      <c r="M11" s="1">
        <v>2</v>
      </c>
      <c r="N11" s="1">
        <v>4</v>
      </c>
      <c r="O11" s="1">
        <v>2</v>
      </c>
      <c r="P11" s="1">
        <v>2</v>
      </c>
      <c r="Q11" s="1" t="s">
        <v>81</v>
      </c>
      <c r="R11" s="1"/>
      <c r="S11" s="1" t="s">
        <v>81</v>
      </c>
      <c r="T11" s="1" t="s">
        <v>64</v>
      </c>
      <c r="U11" s="1" t="s">
        <v>248</v>
      </c>
      <c r="V11" s="1"/>
    </row>
    <row r="12" spans="1:22">
      <c r="A12" s="3">
        <v>46281</v>
      </c>
      <c r="B12" s="1" t="s">
        <v>247</v>
      </c>
      <c r="C12" s="1">
        <v>4</v>
      </c>
      <c r="D12" s="1">
        <v>3</v>
      </c>
      <c r="E12" s="1">
        <v>5</v>
      </c>
      <c r="F12" s="1">
        <v>5</v>
      </c>
      <c r="G12" s="1">
        <v>3</v>
      </c>
      <c r="H12" s="1">
        <v>6.2</v>
      </c>
      <c r="I12" s="1">
        <v>5</v>
      </c>
      <c r="J12" s="1">
        <v>7</v>
      </c>
      <c r="K12" s="1">
        <v>6</v>
      </c>
      <c r="L12" s="1">
        <v>2</v>
      </c>
      <c r="M12" s="1">
        <v>3</v>
      </c>
      <c r="N12" s="1">
        <v>4</v>
      </c>
      <c r="O12" s="1">
        <v>3</v>
      </c>
      <c r="P12" s="1">
        <v>2</v>
      </c>
      <c r="Q12" s="1" t="s">
        <v>81</v>
      </c>
      <c r="R12" s="1"/>
      <c r="S12" s="1" t="s">
        <v>81</v>
      </c>
      <c r="T12" s="1" t="s">
        <v>64</v>
      </c>
      <c r="U12" s="1" t="s">
        <v>248</v>
      </c>
      <c r="V12" s="1"/>
    </row>
    <row r="13" spans="1:22">
      <c r="A13" s="3">
        <v>46282</v>
      </c>
      <c r="B13" s="1" t="s">
        <v>247</v>
      </c>
      <c r="C13" s="1">
        <v>5</v>
      </c>
      <c r="D13" s="1">
        <v>4</v>
      </c>
      <c r="E13" s="1">
        <v>6</v>
      </c>
      <c r="F13" s="1">
        <v>4</v>
      </c>
      <c r="G13" s="1">
        <v>4</v>
      </c>
      <c r="H13" s="1">
        <v>5.8</v>
      </c>
      <c r="I13" s="1">
        <v>4</v>
      </c>
      <c r="J13" s="1">
        <v>6</v>
      </c>
      <c r="K13" s="1">
        <v>7</v>
      </c>
      <c r="L13" s="1">
        <v>2</v>
      </c>
      <c r="M13" s="1">
        <v>4</v>
      </c>
      <c r="N13" s="1">
        <v>5</v>
      </c>
      <c r="O13" s="1">
        <v>3</v>
      </c>
      <c r="P13" s="1">
        <v>3</v>
      </c>
      <c r="Q13" s="1" t="s">
        <v>81</v>
      </c>
      <c r="R13" s="1"/>
      <c r="S13" s="1" t="s">
        <v>81</v>
      </c>
      <c r="T13" s="1" t="s">
        <v>64</v>
      </c>
      <c r="U13" s="1" t="s">
        <v>248</v>
      </c>
      <c r="V13" s="1" t="s">
        <v>249</v>
      </c>
    </row>
    <row r="14" spans="1:22">
      <c r="A14" s="3">
        <v>46283</v>
      </c>
      <c r="B14" s="1" t="s">
        <v>247</v>
      </c>
      <c r="C14" s="1">
        <v>6</v>
      </c>
      <c r="D14" s="1">
        <v>5</v>
      </c>
      <c r="E14" s="1">
        <v>7</v>
      </c>
      <c r="F14" s="1">
        <v>3</v>
      </c>
      <c r="G14" s="1">
        <v>5</v>
      </c>
      <c r="H14" s="1">
        <v>5.2</v>
      </c>
      <c r="I14" s="1">
        <v>4</v>
      </c>
      <c r="J14" s="1">
        <v>5</v>
      </c>
      <c r="K14" s="1">
        <v>7</v>
      </c>
      <c r="L14" s="1">
        <v>3</v>
      </c>
      <c r="M14" s="1">
        <v>5</v>
      </c>
      <c r="N14" s="1">
        <v>6</v>
      </c>
      <c r="O14" s="1">
        <v>4</v>
      </c>
      <c r="P14" s="1">
        <v>4</v>
      </c>
      <c r="Q14" s="1" t="s">
        <v>250</v>
      </c>
      <c r="R14" s="1"/>
      <c r="S14" s="1" t="s">
        <v>81</v>
      </c>
      <c r="T14" s="1" t="s">
        <v>64</v>
      </c>
      <c r="U14" s="1" t="s">
        <v>248</v>
      </c>
      <c r="V14" s="1"/>
    </row>
    <row r="15" spans="1:22" ht="28.5">
      <c r="A15" s="3">
        <v>46284</v>
      </c>
      <c r="B15" s="1" t="s">
        <v>251</v>
      </c>
      <c r="C15" s="1">
        <v>8</v>
      </c>
      <c r="D15" s="1">
        <v>7</v>
      </c>
      <c r="E15" s="1">
        <v>8</v>
      </c>
      <c r="F15" s="1">
        <v>2</v>
      </c>
      <c r="G15" s="1">
        <v>7</v>
      </c>
      <c r="H15" s="1">
        <v>4.8</v>
      </c>
      <c r="I15" s="1">
        <v>3</v>
      </c>
      <c r="J15" s="1">
        <v>3</v>
      </c>
      <c r="K15" s="1">
        <v>8</v>
      </c>
      <c r="L15" s="1">
        <v>4</v>
      </c>
      <c r="M15" s="1">
        <v>6</v>
      </c>
      <c r="N15" s="1">
        <v>8</v>
      </c>
      <c r="O15" s="1">
        <v>5</v>
      </c>
      <c r="P15" s="1">
        <v>5</v>
      </c>
      <c r="Q15" s="1" t="s">
        <v>81</v>
      </c>
      <c r="R15" s="1"/>
      <c r="S15" s="1" t="s">
        <v>64</v>
      </c>
      <c r="T15" s="1" t="s">
        <v>64</v>
      </c>
      <c r="U15" s="1" t="s">
        <v>248</v>
      </c>
      <c r="V15" s="1" t="s">
        <v>252</v>
      </c>
    </row>
    <row r="16" spans="1:22">
      <c r="A16" s="3">
        <v>46285</v>
      </c>
      <c r="B16" s="1" t="s">
        <v>251</v>
      </c>
      <c r="C16" s="1">
        <v>8</v>
      </c>
      <c r="D16" s="1">
        <v>8</v>
      </c>
      <c r="E16" s="1">
        <v>9</v>
      </c>
      <c r="F16" s="1">
        <v>2</v>
      </c>
      <c r="G16" s="1">
        <v>7</v>
      </c>
      <c r="H16" s="1">
        <v>4.5</v>
      </c>
      <c r="I16" s="1">
        <v>2</v>
      </c>
      <c r="J16" s="1">
        <v>2</v>
      </c>
      <c r="K16" s="1">
        <v>8</v>
      </c>
      <c r="L16" s="1">
        <v>5</v>
      </c>
      <c r="M16" s="1">
        <v>6</v>
      </c>
      <c r="N16" s="1">
        <v>8</v>
      </c>
      <c r="O16" s="1">
        <v>6</v>
      </c>
      <c r="P16" s="1">
        <v>6</v>
      </c>
      <c r="Q16" s="1" t="s">
        <v>81</v>
      </c>
      <c r="R16" s="1"/>
      <c r="S16" s="1" t="s">
        <v>64</v>
      </c>
      <c r="T16" s="1" t="s">
        <v>253</v>
      </c>
      <c r="U16" s="1" t="s">
        <v>248</v>
      </c>
      <c r="V16" s="1"/>
    </row>
    <row r="17" spans="1:22" ht="28.5">
      <c r="A17" s="3">
        <v>46286</v>
      </c>
      <c r="B17" s="1" t="s">
        <v>251</v>
      </c>
      <c r="C17" s="1">
        <v>9</v>
      </c>
      <c r="D17" s="1">
        <v>8</v>
      </c>
      <c r="E17" s="1">
        <v>9</v>
      </c>
      <c r="F17" s="1">
        <v>1</v>
      </c>
      <c r="G17" s="1">
        <v>8</v>
      </c>
      <c r="H17" s="1">
        <v>4.2</v>
      </c>
      <c r="I17" s="1">
        <v>2</v>
      </c>
      <c r="J17" s="1">
        <v>2</v>
      </c>
      <c r="K17" s="1">
        <v>7</v>
      </c>
      <c r="L17" s="1">
        <v>5</v>
      </c>
      <c r="M17" s="1">
        <v>7</v>
      </c>
      <c r="N17" s="1">
        <v>9</v>
      </c>
      <c r="O17" s="1">
        <v>6</v>
      </c>
      <c r="P17" s="1">
        <v>6</v>
      </c>
      <c r="Q17" s="1" t="s">
        <v>81</v>
      </c>
      <c r="R17" s="1" t="s">
        <v>254</v>
      </c>
      <c r="S17" s="1" t="s">
        <v>81</v>
      </c>
      <c r="T17" s="1" t="s">
        <v>81</v>
      </c>
      <c r="U17" s="1" t="s">
        <v>248</v>
      </c>
      <c r="V17" s="1" t="s">
        <v>255</v>
      </c>
    </row>
    <row r="18" spans="1:22" ht="28.5">
      <c r="A18" s="3">
        <v>46287</v>
      </c>
      <c r="B18" s="1" t="s">
        <v>251</v>
      </c>
      <c r="C18" s="1">
        <v>8</v>
      </c>
      <c r="D18" s="1">
        <v>7</v>
      </c>
      <c r="E18" s="1">
        <v>8</v>
      </c>
      <c r="F18" s="1">
        <v>2</v>
      </c>
      <c r="G18" s="1">
        <v>7</v>
      </c>
      <c r="H18" s="1">
        <v>5</v>
      </c>
      <c r="I18" s="1">
        <v>3</v>
      </c>
      <c r="J18" s="1">
        <v>3</v>
      </c>
      <c r="K18" s="1">
        <v>6</v>
      </c>
      <c r="L18" s="1">
        <v>4</v>
      </c>
      <c r="M18" s="1">
        <v>6</v>
      </c>
      <c r="N18" s="1">
        <v>8</v>
      </c>
      <c r="O18" s="1">
        <v>5</v>
      </c>
      <c r="P18" s="1">
        <v>5</v>
      </c>
      <c r="Q18" s="1" t="s">
        <v>81</v>
      </c>
      <c r="R18" s="1" t="s">
        <v>254</v>
      </c>
      <c r="S18" s="1" t="s">
        <v>81</v>
      </c>
      <c r="T18" s="1" t="s">
        <v>81</v>
      </c>
      <c r="U18" s="1" t="s">
        <v>248</v>
      </c>
      <c r="V18" s="1"/>
    </row>
    <row r="19" spans="1:22" ht="28.5">
      <c r="A19" s="3">
        <v>46288</v>
      </c>
      <c r="B19" s="1" t="s">
        <v>251</v>
      </c>
      <c r="C19" s="1">
        <v>7</v>
      </c>
      <c r="D19" s="1">
        <v>6</v>
      </c>
      <c r="E19" s="1">
        <v>8</v>
      </c>
      <c r="F19" s="1">
        <v>3</v>
      </c>
      <c r="G19" s="1">
        <v>6</v>
      </c>
      <c r="H19" s="1">
        <v>5.5</v>
      </c>
      <c r="I19" s="1">
        <v>4</v>
      </c>
      <c r="J19" s="1">
        <v>4</v>
      </c>
      <c r="K19" s="1">
        <v>6</v>
      </c>
      <c r="L19" s="1">
        <v>3</v>
      </c>
      <c r="M19" s="1">
        <v>5</v>
      </c>
      <c r="N19" s="1">
        <v>7</v>
      </c>
      <c r="O19" s="1">
        <v>5</v>
      </c>
      <c r="P19" s="1">
        <v>4</v>
      </c>
      <c r="Q19" s="1" t="s">
        <v>81</v>
      </c>
      <c r="R19" s="1" t="s">
        <v>254</v>
      </c>
      <c r="S19" s="1" t="s">
        <v>81</v>
      </c>
      <c r="T19" s="1" t="s">
        <v>253</v>
      </c>
      <c r="U19" s="1" t="s">
        <v>248</v>
      </c>
      <c r="V19" s="1"/>
    </row>
    <row r="20" spans="1:22" ht="28.5">
      <c r="A20" s="3">
        <v>46289</v>
      </c>
      <c r="B20" s="1" t="s">
        <v>251</v>
      </c>
      <c r="C20" s="1">
        <v>7</v>
      </c>
      <c r="D20" s="1">
        <v>6</v>
      </c>
      <c r="E20" s="1">
        <v>7</v>
      </c>
      <c r="F20" s="1">
        <v>3</v>
      </c>
      <c r="G20" s="1">
        <v>5</v>
      </c>
      <c r="H20" s="1">
        <v>6</v>
      </c>
      <c r="I20" s="1">
        <v>5</v>
      </c>
      <c r="J20" s="1">
        <v>5</v>
      </c>
      <c r="K20" s="1">
        <v>5</v>
      </c>
      <c r="L20" s="1">
        <v>3</v>
      </c>
      <c r="M20" s="1">
        <v>4</v>
      </c>
      <c r="N20" s="1">
        <v>7</v>
      </c>
      <c r="O20" s="1">
        <v>4</v>
      </c>
      <c r="P20" s="1">
        <v>4</v>
      </c>
      <c r="Q20" s="1" t="s">
        <v>81</v>
      </c>
      <c r="R20" s="1"/>
      <c r="S20" s="1" t="s">
        <v>81</v>
      </c>
      <c r="T20" s="1" t="s">
        <v>64</v>
      </c>
      <c r="U20" s="1" t="s">
        <v>248</v>
      </c>
      <c r="V20" s="1" t="s">
        <v>256</v>
      </c>
    </row>
    <row r="21" spans="1:22">
      <c r="A21" s="3">
        <v>46290</v>
      </c>
      <c r="B21" s="1" t="s">
        <v>257</v>
      </c>
      <c r="C21" s="1">
        <v>6</v>
      </c>
      <c r="D21" s="1">
        <v>5</v>
      </c>
      <c r="E21" s="1">
        <v>7</v>
      </c>
      <c r="F21" s="1">
        <v>4</v>
      </c>
      <c r="G21" s="1">
        <v>5</v>
      </c>
      <c r="H21" s="1">
        <v>6.2</v>
      </c>
      <c r="I21" s="1">
        <v>5</v>
      </c>
      <c r="J21" s="1">
        <v>6</v>
      </c>
      <c r="K21" s="1">
        <v>5</v>
      </c>
      <c r="L21" s="1">
        <v>2</v>
      </c>
      <c r="M21" s="1">
        <v>4</v>
      </c>
      <c r="N21" s="1">
        <v>6</v>
      </c>
      <c r="O21" s="1">
        <v>4</v>
      </c>
      <c r="P21" s="1">
        <v>3</v>
      </c>
      <c r="Q21" s="1" t="s">
        <v>81</v>
      </c>
      <c r="R21" s="1"/>
      <c r="S21" s="1" t="s">
        <v>81</v>
      </c>
      <c r="T21" s="1" t="s">
        <v>64</v>
      </c>
      <c r="U21" s="1" t="s">
        <v>248</v>
      </c>
      <c r="V21" s="1"/>
    </row>
    <row r="22" spans="1:22">
      <c r="A22" s="3">
        <v>46291</v>
      </c>
      <c r="B22" s="1" t="s">
        <v>257</v>
      </c>
      <c r="C22" s="1">
        <v>6</v>
      </c>
      <c r="D22" s="1">
        <v>5</v>
      </c>
      <c r="E22" s="1">
        <v>6</v>
      </c>
      <c r="F22" s="1">
        <v>4</v>
      </c>
      <c r="G22" s="1">
        <v>4</v>
      </c>
      <c r="H22" s="1">
        <v>6.5</v>
      </c>
      <c r="I22" s="1">
        <v>6</v>
      </c>
      <c r="J22" s="1">
        <v>6</v>
      </c>
      <c r="K22" s="1">
        <v>4</v>
      </c>
      <c r="L22" s="1">
        <v>2</v>
      </c>
      <c r="M22" s="1">
        <v>3</v>
      </c>
      <c r="N22" s="1">
        <v>6</v>
      </c>
      <c r="O22" s="1">
        <v>3</v>
      </c>
      <c r="P22" s="1">
        <v>3</v>
      </c>
      <c r="Q22" s="1" t="s">
        <v>81</v>
      </c>
      <c r="R22" s="1"/>
      <c r="S22" s="1" t="s">
        <v>81</v>
      </c>
      <c r="T22" s="1" t="s">
        <v>64</v>
      </c>
      <c r="U22" s="1" t="s">
        <v>248</v>
      </c>
      <c r="V22" s="1"/>
    </row>
    <row r="23" spans="1:22">
      <c r="A23" s="3">
        <v>46292</v>
      </c>
      <c r="B23" s="1" t="s">
        <v>257</v>
      </c>
      <c r="C23" s="1">
        <v>5</v>
      </c>
      <c r="D23" s="1">
        <v>4</v>
      </c>
      <c r="E23" s="1">
        <v>6</v>
      </c>
      <c r="F23" s="1">
        <v>5</v>
      </c>
      <c r="G23" s="1">
        <v>4</v>
      </c>
      <c r="H23" s="1">
        <v>6.8</v>
      </c>
      <c r="I23" s="1">
        <v>6</v>
      </c>
      <c r="J23" s="1">
        <v>7</v>
      </c>
      <c r="K23" s="1">
        <v>4</v>
      </c>
      <c r="L23" s="1">
        <v>2</v>
      </c>
      <c r="M23" s="1">
        <v>3</v>
      </c>
      <c r="N23" s="1">
        <v>5</v>
      </c>
      <c r="O23" s="1">
        <v>3</v>
      </c>
      <c r="P23" s="1">
        <v>2</v>
      </c>
      <c r="Q23" s="1" t="s">
        <v>81</v>
      </c>
      <c r="R23" s="1"/>
      <c r="S23" s="1" t="s">
        <v>81</v>
      </c>
      <c r="T23" s="1" t="s">
        <v>64</v>
      </c>
      <c r="U23" s="1" t="s">
        <v>248</v>
      </c>
      <c r="V23" s="1"/>
    </row>
    <row r="24" spans="1:22">
      <c r="A24" s="3">
        <v>46293</v>
      </c>
      <c r="B24" s="1" t="s">
        <v>257</v>
      </c>
      <c r="C24" s="1">
        <v>5</v>
      </c>
      <c r="D24" s="1">
        <v>4</v>
      </c>
      <c r="E24" s="1">
        <v>5</v>
      </c>
      <c r="F24" s="1">
        <v>5</v>
      </c>
      <c r="G24" s="1">
        <v>3</v>
      </c>
      <c r="H24" s="1">
        <v>7</v>
      </c>
      <c r="I24" s="1">
        <v>7</v>
      </c>
      <c r="J24" s="1">
        <v>7</v>
      </c>
      <c r="K24" s="1">
        <v>4</v>
      </c>
      <c r="L24" s="1">
        <v>2</v>
      </c>
      <c r="M24" s="1">
        <v>3</v>
      </c>
      <c r="N24" s="1">
        <v>5</v>
      </c>
      <c r="O24" s="1">
        <v>3</v>
      </c>
      <c r="P24" s="1">
        <v>2</v>
      </c>
      <c r="Q24" s="1" t="s">
        <v>81</v>
      </c>
      <c r="R24" s="1"/>
      <c r="S24" s="1" t="s">
        <v>81</v>
      </c>
      <c r="T24" s="1" t="s">
        <v>64</v>
      </c>
      <c r="U24" s="1" t="s">
        <v>258</v>
      </c>
      <c r="V24" s="1" t="s">
        <v>259</v>
      </c>
    </row>
    <row r="25" spans="1:22">
      <c r="A25" s="3">
        <v>46294</v>
      </c>
      <c r="B25" s="1" t="s">
        <v>247</v>
      </c>
      <c r="C25" s="1">
        <v>4</v>
      </c>
      <c r="D25" s="1">
        <v>3</v>
      </c>
      <c r="E25" s="1">
        <v>5</v>
      </c>
      <c r="F25" s="1">
        <v>6</v>
      </c>
      <c r="G25" s="1">
        <v>3</v>
      </c>
      <c r="H25" s="1">
        <v>7.2</v>
      </c>
      <c r="I25" s="1">
        <v>7</v>
      </c>
      <c r="J25" s="1">
        <v>8</v>
      </c>
      <c r="K25" s="1">
        <v>3</v>
      </c>
      <c r="L25" s="1">
        <v>1</v>
      </c>
      <c r="M25" s="1">
        <v>2</v>
      </c>
      <c r="N25" s="1">
        <v>4</v>
      </c>
      <c r="O25" s="1">
        <v>2</v>
      </c>
      <c r="P25" s="1">
        <v>2</v>
      </c>
      <c r="Q25" s="1" t="s">
        <v>81</v>
      </c>
      <c r="R25" s="1"/>
      <c r="S25" s="1" t="s">
        <v>81</v>
      </c>
      <c r="T25" s="1" t="s">
        <v>64</v>
      </c>
      <c r="U25" s="1" t="s">
        <v>258</v>
      </c>
      <c r="V25" s="1"/>
    </row>
    <row r="26" spans="1:22">
      <c r="A26" s="3">
        <v>46295</v>
      </c>
      <c r="B26" s="1" t="s">
        <v>247</v>
      </c>
      <c r="C26" s="1">
        <v>4</v>
      </c>
      <c r="D26" s="1">
        <v>3</v>
      </c>
      <c r="E26" s="1">
        <v>4</v>
      </c>
      <c r="F26" s="1">
        <v>6</v>
      </c>
      <c r="G26" s="1">
        <v>2</v>
      </c>
      <c r="H26" s="1">
        <v>7.5</v>
      </c>
      <c r="I26" s="1">
        <v>8</v>
      </c>
      <c r="J26" s="1">
        <v>8</v>
      </c>
      <c r="K26" s="1">
        <v>3</v>
      </c>
      <c r="L26" s="1">
        <v>1</v>
      </c>
      <c r="M26" s="1">
        <v>2</v>
      </c>
      <c r="N26" s="1">
        <v>4</v>
      </c>
      <c r="O26" s="1">
        <v>2</v>
      </c>
      <c r="P26" s="1">
        <v>1</v>
      </c>
      <c r="Q26" s="1" t="s">
        <v>81</v>
      </c>
      <c r="R26" s="1"/>
      <c r="S26" s="1" t="s">
        <v>81</v>
      </c>
      <c r="T26" s="1" t="s">
        <v>64</v>
      </c>
      <c r="U26" s="1" t="s">
        <v>258</v>
      </c>
      <c r="V26" s="1"/>
    </row>
    <row r="27" spans="1:22">
      <c r="A27" s="3">
        <v>46296</v>
      </c>
      <c r="B27" s="1" t="s">
        <v>260</v>
      </c>
      <c r="C27" s="1">
        <v>3</v>
      </c>
      <c r="D27" s="1">
        <v>2</v>
      </c>
      <c r="E27" s="1">
        <v>4</v>
      </c>
      <c r="F27" s="1">
        <v>7</v>
      </c>
      <c r="G27" s="1">
        <v>2</v>
      </c>
      <c r="H27" s="1">
        <v>7.4</v>
      </c>
      <c r="I27" s="1">
        <v>8</v>
      </c>
      <c r="J27" s="1">
        <v>9</v>
      </c>
      <c r="K27" s="1">
        <v>3</v>
      </c>
      <c r="L27" s="1">
        <v>1</v>
      </c>
      <c r="M27" s="1">
        <v>2</v>
      </c>
      <c r="N27" s="1">
        <v>3</v>
      </c>
      <c r="O27" s="1">
        <v>2</v>
      </c>
      <c r="P27" s="1">
        <v>1</v>
      </c>
      <c r="Q27" s="1" t="s">
        <v>81</v>
      </c>
      <c r="R27" s="1"/>
      <c r="S27" s="1" t="s">
        <v>81</v>
      </c>
      <c r="T27" s="1" t="s">
        <v>64</v>
      </c>
      <c r="U27" s="1" t="s">
        <v>258</v>
      </c>
      <c r="V27" s="1"/>
    </row>
    <row r="28" spans="1:22">
      <c r="A28" s="3">
        <v>46297</v>
      </c>
      <c r="B28" s="1" t="s">
        <v>260</v>
      </c>
      <c r="C28" s="1">
        <v>3</v>
      </c>
      <c r="D28" s="1">
        <v>2</v>
      </c>
      <c r="E28" s="1">
        <v>4</v>
      </c>
      <c r="F28" s="1">
        <v>7</v>
      </c>
      <c r="G28" s="1">
        <v>2</v>
      </c>
      <c r="H28" s="1">
        <v>7.6</v>
      </c>
      <c r="I28" s="1">
        <v>8</v>
      </c>
      <c r="J28" s="1">
        <v>9</v>
      </c>
      <c r="K28" s="1">
        <v>3</v>
      </c>
      <c r="L28" s="1">
        <v>1</v>
      </c>
      <c r="M28" s="1">
        <v>2</v>
      </c>
      <c r="N28" s="1">
        <v>3</v>
      </c>
      <c r="O28" s="1">
        <v>2</v>
      </c>
      <c r="P28" s="1">
        <v>1</v>
      </c>
      <c r="Q28" s="1" t="s">
        <v>81</v>
      </c>
      <c r="R28" s="1"/>
      <c r="S28" s="1" t="s">
        <v>81</v>
      </c>
      <c r="T28" s="1" t="s">
        <v>64</v>
      </c>
      <c r="U28" s="1" t="s">
        <v>258</v>
      </c>
      <c r="V28" s="1"/>
    </row>
    <row r="29" spans="1:22">
      <c r="A29" s="3">
        <v>46298</v>
      </c>
      <c r="B29" s="1" t="s">
        <v>247</v>
      </c>
      <c r="C29" s="1">
        <v>4</v>
      </c>
      <c r="D29" s="1">
        <v>3</v>
      </c>
      <c r="E29" s="1">
        <v>4</v>
      </c>
      <c r="F29" s="1">
        <v>6</v>
      </c>
      <c r="G29" s="1">
        <v>3</v>
      </c>
      <c r="H29" s="1">
        <v>7</v>
      </c>
      <c r="I29" s="1">
        <v>7</v>
      </c>
      <c r="J29" s="1">
        <v>8</v>
      </c>
      <c r="K29" s="1">
        <v>4</v>
      </c>
      <c r="L29" s="1">
        <v>1</v>
      </c>
      <c r="M29" s="1">
        <v>2</v>
      </c>
      <c r="N29" s="1">
        <v>4</v>
      </c>
      <c r="O29" s="1">
        <v>2</v>
      </c>
      <c r="P29" s="1">
        <v>2</v>
      </c>
      <c r="Q29" s="1" t="s">
        <v>81</v>
      </c>
      <c r="R29" s="1"/>
      <c r="S29" s="1" t="s">
        <v>81</v>
      </c>
      <c r="T29" s="1" t="s">
        <v>64</v>
      </c>
      <c r="U29" s="1" t="s">
        <v>258</v>
      </c>
      <c r="V29" s="1" t="s">
        <v>261</v>
      </c>
    </row>
    <row r="30" spans="1:22">
      <c r="A30" s="3">
        <v>46299</v>
      </c>
      <c r="B30" s="1" t="s">
        <v>260</v>
      </c>
      <c r="C30" s="1">
        <v>3</v>
      </c>
      <c r="D30" s="1">
        <v>2</v>
      </c>
      <c r="E30" s="1">
        <v>4</v>
      </c>
      <c r="F30" s="1">
        <v>7</v>
      </c>
      <c r="G30" s="1">
        <v>2</v>
      </c>
      <c r="H30" s="1">
        <v>7.5</v>
      </c>
      <c r="I30" s="1">
        <v>8</v>
      </c>
      <c r="J30" s="1">
        <v>9</v>
      </c>
      <c r="K30" s="1">
        <v>3</v>
      </c>
      <c r="L30" s="1">
        <v>1</v>
      </c>
      <c r="M30" s="1">
        <v>2</v>
      </c>
      <c r="N30" s="1">
        <v>3</v>
      </c>
      <c r="O30" s="1">
        <v>2</v>
      </c>
      <c r="P30" s="1">
        <v>1</v>
      </c>
      <c r="Q30" s="1" t="s">
        <v>81</v>
      </c>
      <c r="R30" s="1"/>
      <c r="S30" s="1" t="s">
        <v>81</v>
      </c>
      <c r="T30" s="1" t="s">
        <v>64</v>
      </c>
      <c r="U30" s="1" t="s">
        <v>258</v>
      </c>
      <c r="V30" s="1" t="s">
        <v>262</v>
      </c>
    </row>
    <row r="31" spans="1:22" ht="28.5">
      <c r="A31" s="3">
        <v>46300</v>
      </c>
      <c r="B31" s="1" t="s">
        <v>260</v>
      </c>
      <c r="C31" s="1">
        <v>3</v>
      </c>
      <c r="D31" s="1">
        <v>2</v>
      </c>
      <c r="E31" s="1">
        <v>3</v>
      </c>
      <c r="F31" s="1">
        <v>7</v>
      </c>
      <c r="G31" s="1">
        <v>2</v>
      </c>
      <c r="H31" s="1">
        <v>7.8</v>
      </c>
      <c r="I31" s="1">
        <v>8</v>
      </c>
      <c r="J31" s="1">
        <v>9</v>
      </c>
      <c r="K31" s="1">
        <v>3</v>
      </c>
      <c r="L31" s="1">
        <v>1</v>
      </c>
      <c r="M31" s="1">
        <v>1</v>
      </c>
      <c r="N31" s="1">
        <v>3</v>
      </c>
      <c r="O31" s="1">
        <v>2</v>
      </c>
      <c r="P31" s="1">
        <v>1</v>
      </c>
      <c r="Q31" s="1" t="s">
        <v>81</v>
      </c>
      <c r="R31" s="1"/>
      <c r="S31" s="1" t="s">
        <v>81</v>
      </c>
      <c r="T31" s="1" t="s">
        <v>64</v>
      </c>
      <c r="U31" s="1" t="s">
        <v>263</v>
      </c>
      <c r="V31" s="1"/>
    </row>
    <row r="32" spans="1:22" ht="28.5">
      <c r="A32" s="3">
        <v>46301</v>
      </c>
      <c r="B32" s="1" t="s">
        <v>260</v>
      </c>
      <c r="C32" s="1">
        <v>3</v>
      </c>
      <c r="D32" s="1">
        <v>2</v>
      </c>
      <c r="E32" s="1">
        <v>3</v>
      </c>
      <c r="F32" s="1">
        <v>7</v>
      </c>
      <c r="G32" s="1">
        <v>2</v>
      </c>
      <c r="H32" s="1">
        <v>7.4</v>
      </c>
      <c r="I32" s="1">
        <v>8</v>
      </c>
      <c r="J32" s="1">
        <v>9</v>
      </c>
      <c r="K32" s="1">
        <v>4</v>
      </c>
      <c r="L32" s="1">
        <v>1</v>
      </c>
      <c r="M32" s="1">
        <v>1</v>
      </c>
      <c r="N32" s="1">
        <v>3</v>
      </c>
      <c r="O32" s="1">
        <v>2</v>
      </c>
      <c r="P32" s="1">
        <v>1</v>
      </c>
      <c r="Q32" s="1" t="s">
        <v>81</v>
      </c>
      <c r="R32" s="1"/>
      <c r="S32" s="1" t="s">
        <v>81</v>
      </c>
      <c r="T32" s="1" t="s">
        <v>64</v>
      </c>
      <c r="U32" s="1" t="s">
        <v>263</v>
      </c>
      <c r="V32" s="1"/>
    </row>
    <row r="33" spans="1:22" ht="28.5">
      <c r="A33" s="3">
        <v>46302</v>
      </c>
      <c r="B33" s="1" t="s">
        <v>247</v>
      </c>
      <c r="C33" s="1">
        <v>3</v>
      </c>
      <c r="D33" s="1">
        <v>2</v>
      </c>
      <c r="E33" s="1">
        <v>4</v>
      </c>
      <c r="F33" s="1">
        <v>6</v>
      </c>
      <c r="G33" s="1">
        <v>2</v>
      </c>
      <c r="H33" s="1">
        <v>7.2</v>
      </c>
      <c r="I33" s="1">
        <v>7</v>
      </c>
      <c r="J33" s="1">
        <v>8</v>
      </c>
      <c r="K33" s="1">
        <v>4</v>
      </c>
      <c r="L33" s="1">
        <v>1</v>
      </c>
      <c r="M33" s="1">
        <v>2</v>
      </c>
      <c r="N33" s="1">
        <v>3</v>
      </c>
      <c r="O33" s="1">
        <v>2</v>
      </c>
      <c r="P33" s="1">
        <v>2</v>
      </c>
      <c r="Q33" s="1" t="s">
        <v>81</v>
      </c>
      <c r="R33" s="1"/>
      <c r="S33" s="1" t="s">
        <v>81</v>
      </c>
      <c r="T33" s="1" t="s">
        <v>64</v>
      </c>
      <c r="U33" s="1" t="s">
        <v>263</v>
      </c>
      <c r="V33" s="1"/>
    </row>
    <row r="34" spans="1:2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</sheetData>
  <mergeCells count="2">
    <mergeCell ref="A1:V2"/>
    <mergeCell ref="A3:V3"/>
  </mergeCells>
  <conditionalFormatting sqref="C6:C370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D6:D370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E6:E370">
    <cfRule type="colorScale" priority="3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F6:F370">
    <cfRule type="colorScale" priority="4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G6:G370">
    <cfRule type="colorScale" priority="5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I6:I370">
    <cfRule type="colorScale" priority="6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J6:J370">
    <cfRule type="colorScale" priority="7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K6:K370">
    <cfRule type="colorScale" priority="8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L6:L370">
    <cfRule type="colorScale" priority="9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M6:M370">
    <cfRule type="colorScale" priority="10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N6:N370">
    <cfRule type="colorScale" priority="1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O6:O370">
    <cfRule type="colorScale" priority="1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P6:P370">
    <cfRule type="colorScale" priority="13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5">
    <dataValidation type="list" allowBlank="1" showErrorMessage="1" errorTitle="Choose from the list" error="Choose a value from the dropdown, or add a custom option on Customize Lists." sqref="I6:P370 C6:G370" xr:uid="{00000000-0002-0000-03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B6:B370" xr:uid="{00000000-0002-0000-0300-00000D000000}">
      <formula1>INDIRECT("'Customize Lists'!$A$31:$A$40")</formula1>
    </dataValidation>
    <dataValidation type="list" allowBlank="1" showErrorMessage="1" errorTitle="Choose from the list" error="Choose a value from the dropdown, or add a custom option on Customize Lists." sqref="Q6:Q370 S6:S370" xr:uid="{00000000-0002-0000-0300-00000E000000}">
      <formula1>INDIRECT("'Customize Lists'!$C$31:$C$38")</formula1>
    </dataValidation>
    <dataValidation type="list" allowBlank="1" showErrorMessage="1" errorTitle="Choose from the list" error="Choose a value from the dropdown, or add a custom option on Customize Lists." sqref="T6:T370" xr:uid="{00000000-0002-0000-0300-000010000000}">
      <formula1>INDIRECT("'Customize Lists'!$E$31:$E$39")</formula1>
    </dataValidation>
    <dataValidation type="list" allowBlank="1" showErrorMessage="1" errorTitle="Choose from the list" error="Choose a value from the dropdown, or add a custom option on Customize Lists." sqref="U6:U370" xr:uid="{00000000-0002-0000-0300-000011000000}">
      <formula1>INDIRECT("'Customize Lists'!$G$31:$G$41")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5"/>
  <sheetViews>
    <sheetView workbookViewId="0">
      <selection sqref="A1:P2"/>
    </sheetView>
  </sheetViews>
  <sheetFormatPr defaultRowHeight="14.25"/>
  <cols>
    <col min="1" max="1" width="12" customWidth="1"/>
    <col min="2" max="2" width="11" customWidth="1"/>
    <col min="3" max="3" width="30" customWidth="1"/>
    <col min="4" max="4" width="24" customWidth="1"/>
    <col min="5" max="5" width="12" customWidth="1"/>
    <col min="6" max="6" width="14" customWidth="1"/>
    <col min="7" max="7" width="24" customWidth="1"/>
    <col min="8" max="8" width="15" customWidth="1"/>
    <col min="9" max="9" width="20" customWidth="1"/>
    <col min="10" max="10" width="22" customWidth="1"/>
    <col min="11" max="13" width="32" customWidth="1"/>
    <col min="14" max="14" width="14" customWidth="1"/>
    <col min="15" max="15" width="16" customWidth="1"/>
    <col min="16" max="16" width="45" customWidth="1"/>
  </cols>
  <sheetData>
    <row r="1" spans="1:16" ht="32.1" customHeight="1">
      <c r="A1" s="19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>
      <c r="A3" s="30" t="s">
        <v>264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5" spans="1:16" ht="33.950000000000003" customHeight="1">
      <c r="A5" s="12" t="s">
        <v>226</v>
      </c>
      <c r="B5" s="12" t="s">
        <v>265</v>
      </c>
      <c r="C5" s="12" t="s">
        <v>266</v>
      </c>
      <c r="D5" s="12" t="s">
        <v>113</v>
      </c>
      <c r="E5" s="12" t="s">
        <v>267</v>
      </c>
      <c r="F5" s="12" t="s">
        <v>268</v>
      </c>
      <c r="G5" s="12" t="s">
        <v>269</v>
      </c>
      <c r="H5" s="12" t="s">
        <v>270</v>
      </c>
      <c r="I5" s="12" t="s">
        <v>271</v>
      </c>
      <c r="J5" s="12" t="s">
        <v>272</v>
      </c>
      <c r="K5" s="12" t="s">
        <v>273</v>
      </c>
      <c r="L5" s="12" t="s">
        <v>274</v>
      </c>
      <c r="M5" s="12" t="s">
        <v>275</v>
      </c>
      <c r="N5" s="12" t="s">
        <v>276</v>
      </c>
      <c r="O5" s="12" t="s">
        <v>277</v>
      </c>
      <c r="P5" s="12" t="s">
        <v>61</v>
      </c>
    </row>
    <row r="6" spans="1:16">
      <c r="A6" s="3">
        <v>46283</v>
      </c>
      <c r="B6" s="5" t="s">
        <v>278</v>
      </c>
      <c r="C6" s="1" t="s">
        <v>279</v>
      </c>
      <c r="D6" s="1" t="s">
        <v>280</v>
      </c>
      <c r="E6" s="1">
        <v>6</v>
      </c>
      <c r="F6" s="1">
        <v>4</v>
      </c>
      <c r="G6" s="1" t="s">
        <v>281</v>
      </c>
      <c r="H6" s="1" t="s">
        <v>282</v>
      </c>
      <c r="I6" s="1" t="s">
        <v>283</v>
      </c>
      <c r="J6" s="1" t="s">
        <v>284</v>
      </c>
      <c r="K6" s="1" t="s">
        <v>285</v>
      </c>
      <c r="L6" s="1" t="s">
        <v>286</v>
      </c>
      <c r="M6" s="1" t="s">
        <v>287</v>
      </c>
      <c r="N6" s="1" t="s">
        <v>81</v>
      </c>
      <c r="O6" s="1" t="s">
        <v>81</v>
      </c>
      <c r="P6" s="1" t="s">
        <v>288</v>
      </c>
    </row>
    <row r="7" spans="1:16">
      <c r="A7" s="3">
        <v>46284</v>
      </c>
      <c r="B7" s="5" t="s">
        <v>289</v>
      </c>
      <c r="C7" s="1" t="s">
        <v>290</v>
      </c>
      <c r="D7" s="1" t="s">
        <v>291</v>
      </c>
      <c r="E7" s="1">
        <v>7</v>
      </c>
      <c r="F7" s="1">
        <v>7</v>
      </c>
      <c r="G7" s="1" t="s">
        <v>292</v>
      </c>
      <c r="H7" s="1" t="s">
        <v>282</v>
      </c>
      <c r="I7" s="1" t="s">
        <v>293</v>
      </c>
      <c r="J7" s="1" t="s">
        <v>294</v>
      </c>
      <c r="K7" s="1" t="s">
        <v>295</v>
      </c>
      <c r="L7" s="1" t="s">
        <v>296</v>
      </c>
      <c r="M7" s="1" t="s">
        <v>297</v>
      </c>
      <c r="N7" s="1" t="s">
        <v>81</v>
      </c>
      <c r="O7" s="1" t="s">
        <v>64</v>
      </c>
      <c r="P7" s="1" t="s">
        <v>298</v>
      </c>
    </row>
    <row r="8" spans="1:16">
      <c r="A8" s="3">
        <v>46284</v>
      </c>
      <c r="B8" s="5" t="s">
        <v>299</v>
      </c>
      <c r="C8" s="1" t="s">
        <v>143</v>
      </c>
      <c r="D8" s="1" t="s">
        <v>144</v>
      </c>
      <c r="E8" s="1">
        <v>7</v>
      </c>
      <c r="F8" s="1">
        <v>6</v>
      </c>
      <c r="G8" s="1" t="s">
        <v>300</v>
      </c>
      <c r="H8" s="1" t="s">
        <v>282</v>
      </c>
      <c r="I8" s="1"/>
      <c r="J8" s="1" t="s">
        <v>301</v>
      </c>
      <c r="K8" s="1" t="s">
        <v>302</v>
      </c>
      <c r="L8" s="1" t="s">
        <v>303</v>
      </c>
      <c r="M8" s="1" t="s">
        <v>304</v>
      </c>
      <c r="N8" s="1" t="s">
        <v>81</v>
      </c>
      <c r="O8" s="1" t="s">
        <v>81</v>
      </c>
      <c r="P8" s="1" t="s">
        <v>305</v>
      </c>
    </row>
    <row r="9" spans="1:16">
      <c r="A9" s="3">
        <v>46285</v>
      </c>
      <c r="B9" s="5" t="s">
        <v>306</v>
      </c>
      <c r="C9" s="1" t="s">
        <v>307</v>
      </c>
      <c r="D9" s="1" t="s">
        <v>308</v>
      </c>
      <c r="E9" s="1">
        <v>9</v>
      </c>
      <c r="F9" s="1">
        <v>9</v>
      </c>
      <c r="G9" s="1" t="s">
        <v>292</v>
      </c>
      <c r="H9" s="1" t="s">
        <v>282</v>
      </c>
      <c r="I9" s="1" t="s">
        <v>309</v>
      </c>
      <c r="J9" s="1" t="s">
        <v>294</v>
      </c>
      <c r="K9" s="1" t="s">
        <v>251</v>
      </c>
      <c r="L9" s="1" t="s">
        <v>310</v>
      </c>
      <c r="M9" s="1" t="s">
        <v>311</v>
      </c>
      <c r="N9" s="1" t="s">
        <v>81</v>
      </c>
      <c r="O9" s="1" t="s">
        <v>64</v>
      </c>
      <c r="P9" s="1" t="s">
        <v>312</v>
      </c>
    </row>
    <row r="10" spans="1:16">
      <c r="A10" s="3">
        <v>46285</v>
      </c>
      <c r="B10" s="5" t="s">
        <v>313</v>
      </c>
      <c r="C10" s="1" t="s">
        <v>314</v>
      </c>
      <c r="D10" s="1" t="s">
        <v>315</v>
      </c>
      <c r="E10" s="1">
        <v>7</v>
      </c>
      <c r="F10" s="1">
        <v>4</v>
      </c>
      <c r="G10" s="1" t="s">
        <v>316</v>
      </c>
      <c r="H10" s="1" t="s">
        <v>317</v>
      </c>
      <c r="I10" s="1" t="s">
        <v>318</v>
      </c>
      <c r="J10" s="1" t="s">
        <v>319</v>
      </c>
      <c r="K10" s="1" t="s">
        <v>320</v>
      </c>
      <c r="L10" s="1" t="s">
        <v>321</v>
      </c>
      <c r="M10" s="1" t="s">
        <v>322</v>
      </c>
      <c r="N10" s="1" t="s">
        <v>64</v>
      </c>
      <c r="O10" s="1" t="s">
        <v>81</v>
      </c>
      <c r="P10" s="1" t="s">
        <v>323</v>
      </c>
    </row>
    <row r="11" spans="1:16">
      <c r="A11" s="3">
        <v>46286</v>
      </c>
      <c r="B11" s="5" t="s">
        <v>324</v>
      </c>
      <c r="C11" s="1" t="s">
        <v>290</v>
      </c>
      <c r="D11" s="1" t="s">
        <v>291</v>
      </c>
      <c r="E11" s="1">
        <v>8</v>
      </c>
      <c r="F11" s="1">
        <v>8</v>
      </c>
      <c r="G11" s="1" t="s">
        <v>292</v>
      </c>
      <c r="H11" s="1" t="s">
        <v>325</v>
      </c>
      <c r="I11" s="1" t="s">
        <v>326</v>
      </c>
      <c r="J11" s="1" t="s">
        <v>327</v>
      </c>
      <c r="K11" s="1" t="s">
        <v>328</v>
      </c>
      <c r="L11" s="1" t="s">
        <v>329</v>
      </c>
      <c r="M11" s="1" t="s">
        <v>297</v>
      </c>
      <c r="N11" s="1" t="s">
        <v>81</v>
      </c>
      <c r="O11" s="1" t="s">
        <v>64</v>
      </c>
      <c r="P11" s="1" t="s">
        <v>330</v>
      </c>
    </row>
    <row r="12" spans="1:16">
      <c r="A12" s="3">
        <v>46287</v>
      </c>
      <c r="B12" s="5" t="s">
        <v>331</v>
      </c>
      <c r="C12" s="1" t="s">
        <v>147</v>
      </c>
      <c r="D12" s="1" t="s">
        <v>144</v>
      </c>
      <c r="E12" s="1">
        <v>7</v>
      </c>
      <c r="F12" s="1">
        <v>5</v>
      </c>
      <c r="G12" s="1" t="s">
        <v>332</v>
      </c>
      <c r="H12" s="1" t="s">
        <v>317</v>
      </c>
      <c r="I12" s="1" t="s">
        <v>333</v>
      </c>
      <c r="J12" s="1" t="s">
        <v>334</v>
      </c>
      <c r="K12" s="1" t="s">
        <v>335</v>
      </c>
      <c r="L12" s="1" t="s">
        <v>336</v>
      </c>
      <c r="M12" s="1" t="s">
        <v>337</v>
      </c>
      <c r="N12" s="1" t="s">
        <v>64</v>
      </c>
      <c r="O12" s="1" t="s">
        <v>81</v>
      </c>
      <c r="P12" s="1" t="s">
        <v>338</v>
      </c>
    </row>
    <row r="13" spans="1:16">
      <c r="A13" s="3">
        <v>46289</v>
      </c>
      <c r="B13" s="5" t="s">
        <v>289</v>
      </c>
      <c r="C13" s="1" t="s">
        <v>307</v>
      </c>
      <c r="D13" s="1" t="s">
        <v>308</v>
      </c>
      <c r="E13" s="1">
        <v>7</v>
      </c>
      <c r="F13" s="1">
        <v>7</v>
      </c>
      <c r="G13" s="1" t="s">
        <v>300</v>
      </c>
      <c r="H13" s="1" t="s">
        <v>339</v>
      </c>
      <c r="I13" s="1" t="s">
        <v>309</v>
      </c>
      <c r="J13" s="1" t="s">
        <v>294</v>
      </c>
      <c r="K13" s="1" t="s">
        <v>340</v>
      </c>
      <c r="L13" s="1" t="s">
        <v>341</v>
      </c>
      <c r="M13" s="1" t="s">
        <v>342</v>
      </c>
      <c r="N13" s="1" t="s">
        <v>81</v>
      </c>
      <c r="O13" s="1" t="s">
        <v>81</v>
      </c>
      <c r="P13" s="1" t="s">
        <v>343</v>
      </c>
    </row>
    <row r="14" spans="1:16">
      <c r="A14" s="3">
        <v>46293</v>
      </c>
      <c r="B14" s="5" t="s">
        <v>344</v>
      </c>
      <c r="C14" s="1" t="s">
        <v>290</v>
      </c>
      <c r="D14" s="1" t="s">
        <v>291</v>
      </c>
      <c r="E14" s="1">
        <v>5</v>
      </c>
      <c r="F14" s="1">
        <v>4</v>
      </c>
      <c r="G14" s="1" t="s">
        <v>345</v>
      </c>
      <c r="H14" s="1" t="s">
        <v>339</v>
      </c>
      <c r="I14" s="1" t="s">
        <v>346</v>
      </c>
      <c r="J14" s="1" t="s">
        <v>347</v>
      </c>
      <c r="K14" s="1" t="s">
        <v>257</v>
      </c>
      <c r="L14" s="1" t="s">
        <v>348</v>
      </c>
      <c r="M14" s="1" t="s">
        <v>349</v>
      </c>
      <c r="N14" s="1" t="s">
        <v>81</v>
      </c>
      <c r="O14" s="1" t="s">
        <v>81</v>
      </c>
      <c r="P14" s="1" t="s">
        <v>350</v>
      </c>
    </row>
    <row r="15" spans="1:16">
      <c r="A15" s="3">
        <v>46298</v>
      </c>
      <c r="B15" s="5" t="s">
        <v>351</v>
      </c>
      <c r="C15" s="1" t="s">
        <v>187</v>
      </c>
      <c r="D15" s="1" t="s">
        <v>352</v>
      </c>
      <c r="E15" s="1">
        <v>4</v>
      </c>
      <c r="F15" s="1">
        <v>2</v>
      </c>
      <c r="G15" s="1" t="s">
        <v>353</v>
      </c>
      <c r="H15" s="1" t="s">
        <v>317</v>
      </c>
      <c r="I15" s="1" t="s">
        <v>354</v>
      </c>
      <c r="J15" s="1" t="s">
        <v>355</v>
      </c>
      <c r="K15" s="1" t="s">
        <v>356</v>
      </c>
      <c r="L15" s="1" t="s">
        <v>357</v>
      </c>
      <c r="M15" s="1" t="s">
        <v>358</v>
      </c>
      <c r="N15" s="1" t="s">
        <v>64</v>
      </c>
      <c r="O15" s="1" t="s">
        <v>81</v>
      </c>
      <c r="P15" s="1" t="s">
        <v>359</v>
      </c>
    </row>
    <row r="16" spans="1:16">
      <c r="A16" s="3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3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3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3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3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3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3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3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3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3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3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3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3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3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3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3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3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3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3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3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3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3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3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3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3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3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3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3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3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3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3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3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3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3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3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3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3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3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3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3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3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3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3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3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3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3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3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3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3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3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3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3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3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3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3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3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3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3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3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3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3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3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3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3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3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3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3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3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3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3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3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3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3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3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3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3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3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3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3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3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3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3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3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3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3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3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3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3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3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3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3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3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3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3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3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3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3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3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3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3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3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3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3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3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3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3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3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3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3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3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3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3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3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3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3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3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3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3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3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3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3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3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3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3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3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3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3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3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3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3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3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3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3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3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3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3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3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3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3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3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3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3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3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3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3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3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3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3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3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3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3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3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3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3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3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3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3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3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3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3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3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3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3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3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3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3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3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3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3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3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3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3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3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3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3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3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3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3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3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3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3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3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3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3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3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3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3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3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3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3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3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3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3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3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3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3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3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3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3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3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3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3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3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3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3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3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3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3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3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3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3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3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3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3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3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3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3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3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3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3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3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3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3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3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3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3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3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3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3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3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3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3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3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3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3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3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3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3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</sheetData>
  <mergeCells count="2">
    <mergeCell ref="A1:P2"/>
    <mergeCell ref="A3:P3"/>
  </mergeCells>
  <conditionalFormatting sqref="E6:E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F6:F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3">
    <dataValidation type="list" allowBlank="1" showErrorMessage="1" errorTitle="Choose from the list" error="Choose a value from the dropdown, or add a custom option on Customize Lists." sqref="E6:F255" xr:uid="{00000000-0002-0000-04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H6:H255" xr:uid="{00000000-0002-0000-0400-000002000000}">
      <formula1>INDIRECT("'Customize Lists'!$A$55:$A$65")</formula1>
    </dataValidation>
    <dataValidation type="list" allowBlank="1" showErrorMessage="1" errorTitle="Choose from the list" error="Choose a value from the dropdown, or add a custom option on Customize Lists." sqref="N6:O255" xr:uid="{00000000-0002-0000-0400-000003000000}">
      <formula1>INDIRECT("'Customize Lists'!$C$31:$C$38")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5"/>
  <sheetViews>
    <sheetView workbookViewId="0">
      <selection sqref="A1:N2"/>
    </sheetView>
  </sheetViews>
  <sheetFormatPr defaultRowHeight="14.25"/>
  <cols>
    <col min="1" max="2" width="13" customWidth="1"/>
    <col min="3" max="4" width="14" customWidth="1"/>
    <col min="5" max="5" width="34" customWidth="1"/>
    <col min="6" max="6" width="38" customWidth="1"/>
    <col min="7" max="7" width="30" customWidth="1"/>
    <col min="8" max="8" width="32" customWidth="1"/>
    <col min="9" max="10" width="34" customWidth="1"/>
    <col min="11" max="11" width="28" customWidth="1"/>
    <col min="12" max="12" width="30" customWidth="1"/>
    <col min="13" max="13" width="15" customWidth="1"/>
    <col min="14" max="14" width="45" customWidth="1"/>
  </cols>
  <sheetData>
    <row r="1" spans="1:14" ht="32.1" customHeight="1">
      <c r="A1" s="19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30" t="s">
        <v>360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5" spans="1:14" ht="33.950000000000003" customHeight="1">
      <c r="A5" s="12" t="s">
        <v>361</v>
      </c>
      <c r="B5" s="12" t="s">
        <v>362</v>
      </c>
      <c r="C5" s="12" t="s">
        <v>363</v>
      </c>
      <c r="D5" s="12" t="s">
        <v>364</v>
      </c>
      <c r="E5" s="12" t="s">
        <v>365</v>
      </c>
      <c r="F5" s="12" t="s">
        <v>366</v>
      </c>
      <c r="G5" s="12" t="s">
        <v>367</v>
      </c>
      <c r="H5" s="12" t="s">
        <v>368</v>
      </c>
      <c r="I5" s="12" t="s">
        <v>369</v>
      </c>
      <c r="J5" s="12" t="s">
        <v>370</v>
      </c>
      <c r="K5" s="12" t="s">
        <v>371</v>
      </c>
      <c r="L5" s="12" t="s">
        <v>372</v>
      </c>
      <c r="M5" s="12" t="s">
        <v>373</v>
      </c>
      <c r="N5" s="12" t="s">
        <v>61</v>
      </c>
    </row>
    <row r="6" spans="1:14" ht="28.5">
      <c r="A6" s="3">
        <v>46284</v>
      </c>
      <c r="B6" s="3">
        <v>46293</v>
      </c>
      <c r="C6" s="6">
        <f>IF(OR(A6="",B6=""),"",B6-A6+1)</f>
        <v>10</v>
      </c>
      <c r="D6" s="1">
        <v>9</v>
      </c>
      <c r="E6" s="1" t="s">
        <v>374</v>
      </c>
      <c r="F6" s="1" t="s">
        <v>375</v>
      </c>
      <c r="G6" s="1" t="s">
        <v>376</v>
      </c>
      <c r="H6" s="1" t="s">
        <v>377</v>
      </c>
      <c r="I6" s="1" t="s">
        <v>378</v>
      </c>
      <c r="J6" s="1" t="s">
        <v>379</v>
      </c>
      <c r="K6" s="1" t="s">
        <v>380</v>
      </c>
      <c r="L6" s="1" t="s">
        <v>381</v>
      </c>
      <c r="M6" s="1" t="s">
        <v>64</v>
      </c>
      <c r="N6" s="1" t="s">
        <v>382</v>
      </c>
    </row>
    <row r="7" spans="1:14">
      <c r="A7" s="3"/>
      <c r="B7" s="3"/>
      <c r="C7" s="6" t="str">
        <f t="shared" ref="C7:C38" ca="1" si="0">IF(A7="","",IF(B7="",TODAY()-A7+1,B7-A7+1))</f>
        <v/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3"/>
      <c r="B8" s="3"/>
      <c r="C8" s="6" t="str">
        <f t="shared" ca="1" si="0"/>
        <v/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3"/>
      <c r="B9" s="3"/>
      <c r="C9" s="6" t="str">
        <f t="shared" ca="1" si="0"/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"/>
      <c r="B10" s="3"/>
      <c r="C10" s="6" t="str">
        <f t="shared" ca="1" si="0"/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"/>
      <c r="B11" s="3"/>
      <c r="C11" s="6" t="str">
        <f t="shared" ca="1" si="0"/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"/>
      <c r="B12" s="3"/>
      <c r="C12" s="6" t="str">
        <f t="shared" ca="1" si="0"/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"/>
      <c r="B13" s="3"/>
      <c r="C13" s="6" t="str">
        <f t="shared" ca="1" si="0"/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3"/>
      <c r="B14" s="3"/>
      <c r="C14" s="6" t="str">
        <f t="shared" ca="1" si="0"/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3"/>
      <c r="B15" s="3"/>
      <c r="C15" s="6" t="str">
        <f t="shared" ca="1" si="0"/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"/>
      <c r="B16" s="3"/>
      <c r="C16" s="6" t="str">
        <f t="shared" ca="1" si="0"/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/>
      <c r="B17" s="3"/>
      <c r="C17" s="6" t="str">
        <f t="shared" ca="1" si="0"/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"/>
      <c r="B18" s="3"/>
      <c r="C18" s="6" t="str">
        <f t="shared" ca="1" si="0"/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3"/>
      <c r="B19" s="3"/>
      <c r="C19" s="6" t="str">
        <f t="shared" ca="1" si="0"/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3"/>
      <c r="C20" s="6" t="str">
        <f t="shared" ca="1" si="0"/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3"/>
      <c r="C21" s="6" t="str">
        <f t="shared" ca="1" si="0"/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3"/>
      <c r="C22" s="6" t="str">
        <f t="shared" ca="1" si="0"/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3"/>
      <c r="C23" s="6" t="str">
        <f t="shared" ca="1" si="0"/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3"/>
      <c r="C24" s="6" t="str">
        <f t="shared" ca="1" si="0"/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3"/>
      <c r="C25" s="6" t="str">
        <f t="shared" ca="1" si="0"/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3"/>
      <c r="C26" s="6" t="str">
        <f t="shared" ca="1" si="0"/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3"/>
      <c r="C27" s="6" t="str">
        <f t="shared" ca="1" si="0"/>
        <v/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3"/>
      <c r="C28" s="6" t="str">
        <f t="shared" ca="1" si="0"/>
        <v/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3"/>
      <c r="C29" s="6" t="str">
        <f t="shared" ca="1" si="0"/>
        <v/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3"/>
      <c r="C30" s="6" t="str">
        <f t="shared" ca="1" si="0"/>
        <v/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3"/>
      <c r="B31" s="3"/>
      <c r="C31" s="6" t="str">
        <f t="shared" ca="1" si="0"/>
        <v/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3"/>
      <c r="B32" s="3"/>
      <c r="C32" s="6" t="str">
        <f t="shared" ca="1" si="0"/>
        <v/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3"/>
      <c r="B33" s="3"/>
      <c r="C33" s="6" t="str">
        <f t="shared" ca="1" si="0"/>
        <v/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"/>
      <c r="B34" s="3"/>
      <c r="C34" s="6" t="str">
        <f t="shared" ca="1" si="0"/>
        <v/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3"/>
      <c r="B35" s="3"/>
      <c r="C35" s="6" t="str">
        <f t="shared" ca="1" si="0"/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3"/>
      <c r="B36" s="3"/>
      <c r="C36" s="6" t="str">
        <f t="shared" ca="1" si="0"/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3"/>
      <c r="B37" s="3"/>
      <c r="C37" s="6" t="str">
        <f t="shared" ca="1" si="0"/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3"/>
      <c r="B38" s="3"/>
      <c r="C38" s="6" t="str">
        <f t="shared" ca="1" si="0"/>
        <v/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3"/>
      <c r="B39" s="3"/>
      <c r="C39" s="6" t="str">
        <f t="shared" ref="C39:C70" ca="1" si="1">IF(A39="","",IF(B39="",TODAY()-A39+1,B39-A39+1))</f>
        <v/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3"/>
      <c r="B40" s="3"/>
      <c r="C40" s="6" t="str">
        <f t="shared" ca="1" si="1"/>
        <v/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3"/>
      <c r="B41" s="3"/>
      <c r="C41" s="6" t="str">
        <f t="shared" ca="1" si="1"/>
        <v/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3"/>
      <c r="B42" s="3"/>
      <c r="C42" s="6" t="str">
        <f t="shared" ca="1" si="1"/>
        <v/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3"/>
      <c r="B43" s="3"/>
      <c r="C43" s="6" t="str">
        <f t="shared" ca="1" si="1"/>
        <v/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3"/>
      <c r="B44" s="3"/>
      <c r="C44" s="6" t="str">
        <f t="shared" ca="1" si="1"/>
        <v/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3"/>
      <c r="B45" s="3"/>
      <c r="C45" s="6" t="str">
        <f t="shared" ca="1" si="1"/>
        <v/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3"/>
      <c r="B46" s="3"/>
      <c r="C46" s="6" t="str">
        <f t="shared" ca="1" si="1"/>
        <v/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3"/>
      <c r="B47" s="3"/>
      <c r="C47" s="6" t="str">
        <f t="shared" ca="1" si="1"/>
        <v/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/>
      <c r="B48" s="3"/>
      <c r="C48" s="6" t="str">
        <f t="shared" ca="1" si="1"/>
        <v/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3"/>
      <c r="B49" s="3"/>
      <c r="C49" s="6" t="str">
        <f t="shared" ca="1" si="1"/>
        <v/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3"/>
      <c r="B50" s="3"/>
      <c r="C50" s="6" t="str">
        <f t="shared" ca="1" si="1"/>
        <v/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3"/>
      <c r="B51" s="3"/>
      <c r="C51" s="6" t="str">
        <f t="shared" ca="1" si="1"/>
        <v/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3"/>
      <c r="B52" s="3"/>
      <c r="C52" s="6" t="str">
        <f t="shared" ca="1" si="1"/>
        <v/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3"/>
      <c r="B53" s="3"/>
      <c r="C53" s="6" t="str">
        <f t="shared" ca="1" si="1"/>
        <v/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3"/>
      <c r="B54" s="3"/>
      <c r="C54" s="6" t="str">
        <f t="shared" ca="1" si="1"/>
        <v/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3"/>
      <c r="B55" s="3"/>
      <c r="C55" s="6" t="str">
        <f t="shared" ca="1" si="1"/>
        <v/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3"/>
      <c r="B56" s="3"/>
      <c r="C56" s="6" t="str">
        <f t="shared" ca="1" si="1"/>
        <v/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3"/>
      <c r="B57" s="3"/>
      <c r="C57" s="6" t="str">
        <f t="shared" ca="1" si="1"/>
        <v/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3"/>
      <c r="B58" s="3"/>
      <c r="C58" s="6" t="str">
        <f t="shared" ca="1" si="1"/>
        <v/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3"/>
      <c r="B59" s="3"/>
      <c r="C59" s="6" t="str">
        <f t="shared" ca="1" si="1"/>
        <v/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3"/>
      <c r="B60" s="3"/>
      <c r="C60" s="6" t="str">
        <f t="shared" ca="1" si="1"/>
        <v/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3"/>
      <c r="B61" s="3"/>
      <c r="C61" s="6" t="str">
        <f t="shared" ca="1" si="1"/>
        <v/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3"/>
      <c r="B62" s="3"/>
      <c r="C62" s="6" t="str">
        <f t="shared" ca="1" si="1"/>
        <v/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"/>
      <c r="B63" s="3"/>
      <c r="C63" s="6" t="str">
        <f t="shared" ca="1" si="1"/>
        <v/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3"/>
      <c r="B64" s="3"/>
      <c r="C64" s="6" t="str">
        <f t="shared" ca="1" si="1"/>
        <v/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/>
      <c r="B65" s="3"/>
      <c r="C65" s="6" t="str">
        <f t="shared" ca="1" si="1"/>
        <v/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3"/>
      <c r="B66" s="3"/>
      <c r="C66" s="6" t="str">
        <f t="shared" ca="1" si="1"/>
        <v/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3"/>
      <c r="B67" s="3"/>
      <c r="C67" s="6" t="str">
        <f t="shared" ca="1" si="1"/>
        <v/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3"/>
      <c r="B68" s="3"/>
      <c r="C68" s="6" t="str">
        <f t="shared" ca="1" si="1"/>
        <v/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3"/>
      <c r="B69" s="3"/>
      <c r="C69" s="6" t="str">
        <f t="shared" ca="1" si="1"/>
        <v/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3"/>
      <c r="B70" s="3"/>
      <c r="C70" s="6" t="str">
        <f t="shared" ca="1" si="1"/>
        <v/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3"/>
      <c r="B71" s="3"/>
      <c r="C71" s="6" t="str">
        <f t="shared" ref="C71:C102" ca="1" si="2">IF(A71="","",IF(B71="",TODAY()-A71+1,B71-A71+1))</f>
        <v/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3"/>
      <c r="B72" s="3"/>
      <c r="C72" s="6" t="str">
        <f t="shared" ca="1" si="2"/>
        <v/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3"/>
      <c r="B73" s="3"/>
      <c r="C73" s="6" t="str">
        <f t="shared" ca="1" si="2"/>
        <v/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3"/>
      <c r="B74" s="3"/>
      <c r="C74" s="6" t="str">
        <f t="shared" ca="1" si="2"/>
        <v/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3"/>
      <c r="B75" s="3"/>
      <c r="C75" s="6" t="str">
        <f t="shared" ca="1" si="2"/>
        <v/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3"/>
      <c r="B76" s="3"/>
      <c r="C76" s="6" t="str">
        <f t="shared" ca="1" si="2"/>
        <v/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3"/>
      <c r="B77" s="3"/>
      <c r="C77" s="6" t="str">
        <f t="shared" ca="1" si="2"/>
        <v/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3"/>
      <c r="B78" s="3"/>
      <c r="C78" s="6" t="str">
        <f t="shared" ca="1" si="2"/>
        <v/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3"/>
      <c r="B79" s="3"/>
      <c r="C79" s="6" t="str">
        <f t="shared" ca="1" si="2"/>
        <v/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3"/>
      <c r="B80" s="3"/>
      <c r="C80" s="6" t="str">
        <f t="shared" ca="1" si="2"/>
        <v/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3"/>
      <c r="B81" s="3"/>
      <c r="C81" s="6" t="str">
        <f t="shared" ca="1" si="2"/>
        <v/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3"/>
      <c r="B82" s="3"/>
      <c r="C82" s="6" t="str">
        <f t="shared" ca="1" si="2"/>
        <v/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3"/>
      <c r="B83" s="3"/>
      <c r="C83" s="6" t="str">
        <f t="shared" ca="1" si="2"/>
        <v/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3"/>
      <c r="B84" s="3"/>
      <c r="C84" s="6" t="str">
        <f t="shared" ca="1" si="2"/>
        <v/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3"/>
      <c r="B85" s="3"/>
      <c r="C85" s="6" t="str">
        <f t="shared" ca="1" si="2"/>
        <v/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3"/>
      <c r="B86" s="3"/>
      <c r="C86" s="6" t="str">
        <f t="shared" ca="1" si="2"/>
        <v/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3"/>
      <c r="B87" s="3"/>
      <c r="C87" s="6" t="str">
        <f t="shared" ca="1" si="2"/>
        <v/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3"/>
      <c r="B88" s="3"/>
      <c r="C88" s="6" t="str">
        <f t="shared" ca="1" si="2"/>
        <v/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3"/>
      <c r="B89" s="3"/>
      <c r="C89" s="6" t="str">
        <f t="shared" ca="1" si="2"/>
        <v/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3"/>
      <c r="B90" s="3"/>
      <c r="C90" s="6" t="str">
        <f t="shared" ca="1" si="2"/>
        <v/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3"/>
      <c r="B91" s="3"/>
      <c r="C91" s="6" t="str">
        <f t="shared" ca="1" si="2"/>
        <v/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3"/>
      <c r="B92" s="3"/>
      <c r="C92" s="6" t="str">
        <f t="shared" ca="1" si="2"/>
        <v/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3"/>
      <c r="B93" s="3"/>
      <c r="C93" s="6" t="str">
        <f t="shared" ca="1" si="2"/>
        <v/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3"/>
      <c r="B94" s="3"/>
      <c r="C94" s="6" t="str">
        <f t="shared" ca="1" si="2"/>
        <v/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3"/>
      <c r="B95" s="3"/>
      <c r="C95" s="6" t="str">
        <f t="shared" ca="1" si="2"/>
        <v/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3"/>
      <c r="B96" s="3"/>
      <c r="C96" s="6" t="str">
        <f t="shared" ca="1" si="2"/>
        <v/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3"/>
      <c r="B97" s="3"/>
      <c r="C97" s="6" t="str">
        <f t="shared" ca="1" si="2"/>
        <v/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3"/>
      <c r="B98" s="3"/>
      <c r="C98" s="6" t="str">
        <f t="shared" ca="1" si="2"/>
        <v/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3"/>
      <c r="B99" s="3"/>
      <c r="C99" s="6" t="str">
        <f t="shared" ca="1" si="2"/>
        <v/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3"/>
      <c r="B100" s="3"/>
      <c r="C100" s="6" t="str">
        <f t="shared" ca="1" si="2"/>
        <v/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3"/>
      <c r="B101" s="3"/>
      <c r="C101" s="6" t="str">
        <f t="shared" ca="1" si="2"/>
        <v/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3"/>
      <c r="B102" s="3"/>
      <c r="C102" s="6" t="str">
        <f t="shared" ca="1" si="2"/>
        <v/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3"/>
      <c r="B103" s="3"/>
      <c r="C103" s="6" t="str">
        <f t="shared" ref="C103:C134" ca="1" si="3">IF(A103="","",IF(B103="",TODAY()-A103+1,B103-A103+1))</f>
        <v/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3"/>
      <c r="B104" s="3"/>
      <c r="C104" s="6" t="str">
        <f t="shared" ca="1" si="3"/>
        <v/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3"/>
      <c r="B105" s="3"/>
      <c r="C105" s="6" t="str">
        <f t="shared" ca="1" si="3"/>
        <v/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3"/>
      <c r="B106" s="3"/>
      <c r="C106" s="6" t="str">
        <f t="shared" ca="1" si="3"/>
        <v/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3"/>
      <c r="B107" s="3"/>
      <c r="C107" s="6" t="str">
        <f t="shared" ca="1" si="3"/>
        <v/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3"/>
      <c r="B108" s="3"/>
      <c r="C108" s="6" t="str">
        <f t="shared" ca="1" si="3"/>
        <v/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3"/>
      <c r="B109" s="3"/>
      <c r="C109" s="6" t="str">
        <f t="shared" ca="1" si="3"/>
        <v/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3"/>
      <c r="B110" s="3"/>
      <c r="C110" s="6" t="str">
        <f t="shared" ca="1" si="3"/>
        <v/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3"/>
      <c r="B111" s="3"/>
      <c r="C111" s="6" t="str">
        <f t="shared" ca="1" si="3"/>
        <v/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3"/>
      <c r="B112" s="3"/>
      <c r="C112" s="6" t="str">
        <f t="shared" ca="1" si="3"/>
        <v/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3"/>
      <c r="B113" s="3"/>
      <c r="C113" s="6" t="str">
        <f t="shared" ca="1" si="3"/>
        <v/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3"/>
      <c r="B114" s="3"/>
      <c r="C114" s="6" t="str">
        <f t="shared" ca="1" si="3"/>
        <v/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3"/>
      <c r="B115" s="3"/>
      <c r="C115" s="6" t="str">
        <f t="shared" ca="1" si="3"/>
        <v/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3"/>
      <c r="B116" s="3"/>
      <c r="C116" s="6" t="str">
        <f t="shared" ca="1" si="3"/>
        <v/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3"/>
      <c r="B117" s="3"/>
      <c r="C117" s="6" t="str">
        <f t="shared" ca="1" si="3"/>
        <v/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3"/>
      <c r="B118" s="3"/>
      <c r="C118" s="6" t="str">
        <f t="shared" ca="1" si="3"/>
        <v/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3"/>
      <c r="B119" s="3"/>
      <c r="C119" s="6" t="str">
        <f t="shared" ca="1" si="3"/>
        <v/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3"/>
      <c r="B120" s="3"/>
      <c r="C120" s="6" t="str">
        <f t="shared" ca="1" si="3"/>
        <v/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3"/>
      <c r="B121" s="3"/>
      <c r="C121" s="6" t="str">
        <f t="shared" ca="1" si="3"/>
        <v/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3"/>
      <c r="B122" s="3"/>
      <c r="C122" s="6" t="str">
        <f t="shared" ca="1" si="3"/>
        <v/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3"/>
      <c r="B123" s="3"/>
      <c r="C123" s="6" t="str">
        <f t="shared" ca="1" si="3"/>
        <v/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3"/>
      <c r="B124" s="3"/>
      <c r="C124" s="6" t="str">
        <f t="shared" ca="1" si="3"/>
        <v/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3"/>
      <c r="B125" s="3"/>
      <c r="C125" s="6" t="str">
        <f t="shared" ca="1" si="3"/>
        <v/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3"/>
      <c r="B126" s="3"/>
      <c r="C126" s="6" t="str">
        <f t="shared" ca="1" si="3"/>
        <v/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3"/>
      <c r="B127" s="3"/>
      <c r="C127" s="6" t="str">
        <f t="shared" ca="1" si="3"/>
        <v/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3"/>
      <c r="B128" s="3"/>
      <c r="C128" s="6" t="str">
        <f t="shared" ca="1" si="3"/>
        <v/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3"/>
      <c r="B129" s="3"/>
      <c r="C129" s="6" t="str">
        <f t="shared" ca="1" si="3"/>
        <v/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3"/>
      <c r="B130" s="3"/>
      <c r="C130" s="6" t="str">
        <f t="shared" ca="1" si="3"/>
        <v/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3"/>
      <c r="B131" s="3"/>
      <c r="C131" s="6" t="str">
        <f t="shared" ca="1" si="3"/>
        <v/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3"/>
      <c r="B132" s="3"/>
      <c r="C132" s="6" t="str">
        <f t="shared" ca="1" si="3"/>
        <v/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3"/>
      <c r="B133" s="3"/>
      <c r="C133" s="6" t="str">
        <f t="shared" ca="1" si="3"/>
        <v/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3"/>
      <c r="B134" s="3"/>
      <c r="C134" s="6" t="str">
        <f t="shared" ca="1" si="3"/>
        <v/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3"/>
      <c r="B135" s="3"/>
      <c r="C135" s="6" t="str">
        <f t="shared" ref="C135:C166" ca="1" si="4">IF(A135="","",IF(B135="",TODAY()-A135+1,B135-A135+1))</f>
        <v/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3"/>
      <c r="B136" s="3"/>
      <c r="C136" s="6" t="str">
        <f t="shared" ca="1" si="4"/>
        <v/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3"/>
      <c r="B137" s="3"/>
      <c r="C137" s="6" t="str">
        <f t="shared" ca="1" si="4"/>
        <v/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3"/>
      <c r="B138" s="3"/>
      <c r="C138" s="6" t="str">
        <f t="shared" ca="1" si="4"/>
        <v/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3"/>
      <c r="B139" s="3"/>
      <c r="C139" s="6" t="str">
        <f t="shared" ca="1" si="4"/>
        <v/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3"/>
      <c r="B140" s="3"/>
      <c r="C140" s="6" t="str">
        <f t="shared" ca="1" si="4"/>
        <v/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3"/>
      <c r="B141" s="3"/>
      <c r="C141" s="6" t="str">
        <f t="shared" ca="1" si="4"/>
        <v/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3"/>
      <c r="B142" s="3"/>
      <c r="C142" s="6" t="str">
        <f t="shared" ca="1" si="4"/>
        <v/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3"/>
      <c r="B143" s="3"/>
      <c r="C143" s="6" t="str">
        <f t="shared" ca="1" si="4"/>
        <v/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3"/>
      <c r="B144" s="3"/>
      <c r="C144" s="6" t="str">
        <f t="shared" ca="1" si="4"/>
        <v/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3"/>
      <c r="B145" s="3"/>
      <c r="C145" s="6" t="str">
        <f t="shared" ca="1" si="4"/>
        <v/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3"/>
      <c r="B146" s="3"/>
      <c r="C146" s="6" t="str">
        <f t="shared" ca="1" si="4"/>
        <v/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3"/>
      <c r="B147" s="3"/>
      <c r="C147" s="6" t="str">
        <f t="shared" ca="1" si="4"/>
        <v/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3"/>
      <c r="B148" s="3"/>
      <c r="C148" s="6" t="str">
        <f t="shared" ca="1" si="4"/>
        <v/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3"/>
      <c r="B149" s="3"/>
      <c r="C149" s="6" t="str">
        <f t="shared" ca="1" si="4"/>
        <v/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3"/>
      <c r="B150" s="3"/>
      <c r="C150" s="6" t="str">
        <f t="shared" ca="1" si="4"/>
        <v/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3"/>
      <c r="B151" s="3"/>
      <c r="C151" s="6" t="str">
        <f t="shared" ca="1" si="4"/>
        <v/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3"/>
      <c r="B152" s="3"/>
      <c r="C152" s="6" t="str">
        <f t="shared" ca="1" si="4"/>
        <v/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3"/>
      <c r="B153" s="3"/>
      <c r="C153" s="6" t="str">
        <f t="shared" ca="1" si="4"/>
        <v/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3"/>
      <c r="B154" s="3"/>
      <c r="C154" s="6" t="str">
        <f t="shared" ca="1" si="4"/>
        <v/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3"/>
      <c r="B155" s="3"/>
      <c r="C155" s="6" t="str">
        <f t="shared" ca="1" si="4"/>
        <v/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</sheetData>
  <mergeCells count="2">
    <mergeCell ref="A1:N2"/>
    <mergeCell ref="A3:N3"/>
  </mergeCells>
  <conditionalFormatting sqref="D6:D1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2">
    <dataValidation type="list" allowBlank="1" showErrorMessage="1" errorTitle="Choose from the list" error="Choose a value from the dropdown, or add a custom option on Customize Lists." sqref="D6:D155" xr:uid="{00000000-0002-0000-0500-000000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155" xr:uid="{00000000-0002-0000-0500-000001000000}">
      <formula1>INDIRECT("'Customize Lists'!$C$55:$C$63")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5"/>
  <sheetViews>
    <sheetView workbookViewId="0">
      <selection sqref="A1:S2"/>
    </sheetView>
  </sheetViews>
  <sheetFormatPr defaultRowHeight="14.25"/>
  <cols>
    <col min="1" max="1" width="28" customWidth="1"/>
    <col min="2" max="2" width="18" customWidth="1"/>
    <col min="3" max="3" width="26" customWidth="1"/>
    <col min="4" max="4" width="28" customWidth="1"/>
    <col min="5" max="5" width="24" customWidth="1"/>
    <col min="6" max="6" width="18" customWidth="1"/>
    <col min="7" max="7" width="14" customWidth="1"/>
    <col min="8" max="8" width="22" customWidth="1"/>
    <col min="9" max="9" width="12" customWidth="1"/>
    <col min="10" max="10" width="14" customWidth="1"/>
    <col min="11" max="11" width="15" customWidth="1"/>
    <col min="12" max="12" width="14" customWidth="1"/>
    <col min="13" max="13" width="12" customWidth="1"/>
    <col min="14" max="14" width="36" customWidth="1"/>
    <col min="15" max="15" width="14" customWidth="1"/>
    <col min="16" max="16" width="34" customWidth="1"/>
    <col min="17" max="17" width="16" customWidth="1"/>
    <col min="18" max="18" width="17" customWidth="1"/>
    <col min="19" max="19" width="44" customWidth="1"/>
  </cols>
  <sheetData>
    <row r="1" spans="1:19" ht="32.1" customHeight="1">
      <c r="A1" s="19" t="s">
        <v>383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>
      <c r="A3" s="30" t="s">
        <v>384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33.950000000000003" customHeight="1">
      <c r="A5" s="12" t="s">
        <v>385</v>
      </c>
      <c r="B5" s="12" t="s">
        <v>386</v>
      </c>
      <c r="C5" s="12" t="s">
        <v>387</v>
      </c>
      <c r="D5" s="12" t="s">
        <v>388</v>
      </c>
      <c r="E5" s="12" t="s">
        <v>389</v>
      </c>
      <c r="F5" s="12" t="s">
        <v>390</v>
      </c>
      <c r="G5" s="12" t="s">
        <v>391</v>
      </c>
      <c r="H5" s="12" t="s">
        <v>392</v>
      </c>
      <c r="I5" s="12" t="s">
        <v>393</v>
      </c>
      <c r="J5" s="12" t="s">
        <v>394</v>
      </c>
      <c r="K5" s="12" t="s">
        <v>395</v>
      </c>
      <c r="L5" s="12" t="s">
        <v>396</v>
      </c>
      <c r="M5" s="12" t="s">
        <v>397</v>
      </c>
      <c r="N5" s="12" t="s">
        <v>398</v>
      </c>
      <c r="O5" s="12" t="s">
        <v>399</v>
      </c>
      <c r="P5" s="12" t="s">
        <v>400</v>
      </c>
      <c r="Q5" s="12" t="s">
        <v>401</v>
      </c>
      <c r="R5" s="12" t="s">
        <v>402</v>
      </c>
      <c r="S5" s="12" t="s">
        <v>61</v>
      </c>
    </row>
    <row r="6" spans="1:19" ht="28.5">
      <c r="A6" s="1" t="s">
        <v>403</v>
      </c>
      <c r="B6" s="1" t="s">
        <v>404</v>
      </c>
      <c r="C6" s="1" t="s">
        <v>405</v>
      </c>
      <c r="D6" s="1" t="s">
        <v>406</v>
      </c>
      <c r="E6" s="1" t="s">
        <v>407</v>
      </c>
      <c r="F6" s="1" t="s">
        <v>408</v>
      </c>
      <c r="G6" s="1" t="s">
        <v>409</v>
      </c>
      <c r="H6" s="1" t="s">
        <v>410</v>
      </c>
      <c r="I6" s="3">
        <v>45992</v>
      </c>
      <c r="J6" s="3">
        <v>46302</v>
      </c>
      <c r="K6" s="1">
        <v>1</v>
      </c>
      <c r="L6" s="7">
        <f>IF(OR(J6="",K6=""),"",J6+K6)</f>
        <v>46303</v>
      </c>
      <c r="M6" s="3"/>
      <c r="N6" s="1"/>
      <c r="O6" s="1" t="s">
        <v>81</v>
      </c>
      <c r="P6" s="1"/>
      <c r="Q6" s="1">
        <v>6</v>
      </c>
      <c r="R6" s="1">
        <v>2</v>
      </c>
      <c r="S6" s="1" t="s">
        <v>411</v>
      </c>
    </row>
    <row r="7" spans="1:19" ht="28.5">
      <c r="A7" s="1" t="s">
        <v>412</v>
      </c>
      <c r="B7" s="1" t="s">
        <v>413</v>
      </c>
      <c r="C7" s="1" t="s">
        <v>405</v>
      </c>
      <c r="D7" s="1" t="s">
        <v>414</v>
      </c>
      <c r="E7" s="1" t="s">
        <v>407</v>
      </c>
      <c r="F7" s="1" t="s">
        <v>415</v>
      </c>
      <c r="G7" s="1" t="s">
        <v>416</v>
      </c>
      <c r="H7" s="1" t="s">
        <v>417</v>
      </c>
      <c r="I7" s="3">
        <v>46054</v>
      </c>
      <c r="J7" s="3">
        <v>46290</v>
      </c>
      <c r="K7" s="1">
        <v>56</v>
      </c>
      <c r="L7" s="7">
        <f>IF(OR(J7="",K7=""),"",J7+K7)</f>
        <v>46346</v>
      </c>
      <c r="M7" s="3"/>
      <c r="N7" s="1"/>
      <c r="O7" s="1" t="s">
        <v>64</v>
      </c>
      <c r="P7" s="1" t="s">
        <v>418</v>
      </c>
      <c r="Q7" s="1">
        <v>8</v>
      </c>
      <c r="R7" s="1">
        <v>3</v>
      </c>
      <c r="S7" s="1" t="s">
        <v>419</v>
      </c>
    </row>
    <row r="8" spans="1:19" ht="28.5">
      <c r="A8" s="1" t="s">
        <v>420</v>
      </c>
      <c r="B8" s="1" t="s">
        <v>421</v>
      </c>
      <c r="C8" s="1" t="s">
        <v>405</v>
      </c>
      <c r="D8" s="1" t="s">
        <v>422</v>
      </c>
      <c r="E8" s="1" t="s">
        <v>423</v>
      </c>
      <c r="F8" s="1" t="s">
        <v>424</v>
      </c>
      <c r="G8" s="1" t="s">
        <v>409</v>
      </c>
      <c r="H8" s="1" t="s">
        <v>410</v>
      </c>
      <c r="I8" s="3">
        <v>46082</v>
      </c>
      <c r="J8" s="3">
        <v>46302</v>
      </c>
      <c r="K8" s="1">
        <v>1</v>
      </c>
      <c r="L8" s="7">
        <f>IF(OR(J8="",K8=""),"",J8+K8)</f>
        <v>46303</v>
      </c>
      <c r="M8" s="3"/>
      <c r="N8" s="1"/>
      <c r="O8" s="1" t="s">
        <v>81</v>
      </c>
      <c r="P8" s="1"/>
      <c r="Q8" s="1">
        <v>4</v>
      </c>
      <c r="R8" s="1">
        <v>0</v>
      </c>
      <c r="S8" s="1" t="s">
        <v>425</v>
      </c>
    </row>
    <row r="9" spans="1:19" ht="28.5">
      <c r="A9" s="1" t="s">
        <v>426</v>
      </c>
      <c r="B9" s="1" t="s">
        <v>427</v>
      </c>
      <c r="C9" s="1" t="s">
        <v>405</v>
      </c>
      <c r="D9" s="1" t="s">
        <v>428</v>
      </c>
      <c r="E9" s="1" t="s">
        <v>429</v>
      </c>
      <c r="F9" s="1" t="s">
        <v>430</v>
      </c>
      <c r="G9" s="1" t="s">
        <v>431</v>
      </c>
      <c r="H9" s="1" t="s">
        <v>410</v>
      </c>
      <c r="I9" s="3">
        <v>46275</v>
      </c>
      <c r="J9" s="3">
        <v>46302</v>
      </c>
      <c r="K9" s="1">
        <v>1</v>
      </c>
      <c r="L9" s="7">
        <f>IF(OR(J9="",K9=""),"",J9+K9)</f>
        <v>46303</v>
      </c>
      <c r="M9" s="3"/>
      <c r="N9" s="1"/>
      <c r="O9" s="1" t="s">
        <v>81</v>
      </c>
      <c r="P9" s="1"/>
      <c r="Q9" s="1">
        <v>5</v>
      </c>
      <c r="R9" s="1">
        <v>4</v>
      </c>
      <c r="S9" s="1" t="s">
        <v>432</v>
      </c>
    </row>
    <row r="10" spans="1:19">
      <c r="A10" s="1"/>
      <c r="B10" s="1"/>
      <c r="C10" s="1"/>
      <c r="D10" s="1"/>
      <c r="E10" s="1"/>
      <c r="F10" s="1"/>
      <c r="G10" s="1"/>
      <c r="H10" s="1"/>
      <c r="I10" s="3"/>
      <c r="J10" s="3"/>
      <c r="K10" s="1"/>
      <c r="L10" s="7" t="str">
        <f t="shared" ref="L10:L41" si="0">IF(AND(C10="Active",J10&lt;&gt;"",K10&lt;&gt;""),J10+K10,"")</f>
        <v/>
      </c>
      <c r="M10" s="3"/>
      <c r="N10" s="1"/>
      <c r="O10" s="1"/>
      <c r="P10" s="1"/>
      <c r="Q10" s="1"/>
      <c r="R10" s="1"/>
      <c r="S10" s="1"/>
    </row>
    <row r="11" spans="1:19">
      <c r="A11" s="1"/>
      <c r="B11" s="1"/>
      <c r="C11" s="1"/>
      <c r="D11" s="1"/>
      <c r="E11" s="1"/>
      <c r="F11" s="1"/>
      <c r="G11" s="1"/>
      <c r="H11" s="1"/>
      <c r="I11" s="3"/>
      <c r="J11" s="3"/>
      <c r="K11" s="1"/>
      <c r="L11" s="7" t="str">
        <f t="shared" si="0"/>
        <v/>
      </c>
      <c r="M11" s="3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3"/>
      <c r="J12" s="3"/>
      <c r="K12" s="1"/>
      <c r="L12" s="7" t="str">
        <f t="shared" si="0"/>
        <v/>
      </c>
      <c r="M12" s="3"/>
      <c r="N12" s="1"/>
      <c r="O12" s="1"/>
      <c r="P12" s="1"/>
      <c r="Q12" s="1"/>
      <c r="R12" s="1"/>
      <c r="S12" s="1"/>
    </row>
    <row r="13" spans="1:19">
      <c r="A13" s="1"/>
      <c r="B13" s="1"/>
      <c r="C13" s="1"/>
      <c r="D13" s="1"/>
      <c r="E13" s="1"/>
      <c r="F13" s="1"/>
      <c r="G13" s="1"/>
      <c r="H13" s="1"/>
      <c r="I13" s="3"/>
      <c r="J13" s="3"/>
      <c r="K13" s="1"/>
      <c r="L13" s="7" t="str">
        <f t="shared" si="0"/>
        <v/>
      </c>
      <c r="M13" s="3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3"/>
      <c r="J14" s="3"/>
      <c r="K14" s="1"/>
      <c r="L14" s="7" t="str">
        <f t="shared" si="0"/>
        <v/>
      </c>
      <c r="M14" s="3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3"/>
      <c r="J15" s="3"/>
      <c r="K15" s="1"/>
      <c r="L15" s="7" t="str">
        <f t="shared" si="0"/>
        <v/>
      </c>
      <c r="M15" s="3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3"/>
      <c r="J16" s="3"/>
      <c r="K16" s="1"/>
      <c r="L16" s="7" t="str">
        <f t="shared" si="0"/>
        <v/>
      </c>
      <c r="M16" s="3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3"/>
      <c r="J17" s="3"/>
      <c r="K17" s="1"/>
      <c r="L17" s="7" t="str">
        <f t="shared" si="0"/>
        <v/>
      </c>
      <c r="M17" s="3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3"/>
      <c r="J18" s="3"/>
      <c r="K18" s="1"/>
      <c r="L18" s="7" t="str">
        <f t="shared" si="0"/>
        <v/>
      </c>
      <c r="M18" s="3"/>
      <c r="N18" s="1"/>
      <c r="O18" s="1"/>
      <c r="P18" s="1"/>
      <c r="Q18" s="1"/>
      <c r="R18" s="1"/>
      <c r="S18" s="1"/>
    </row>
    <row r="19" spans="1:19">
      <c r="A19" s="1"/>
      <c r="B19" s="1"/>
      <c r="C19" s="1"/>
      <c r="D19" s="1"/>
      <c r="E19" s="1"/>
      <c r="F19" s="1"/>
      <c r="G19" s="1"/>
      <c r="H19" s="1"/>
      <c r="I19" s="3"/>
      <c r="J19" s="3"/>
      <c r="K19" s="1"/>
      <c r="L19" s="7" t="str">
        <f t="shared" si="0"/>
        <v/>
      </c>
      <c r="M19" s="3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3"/>
      <c r="J20" s="3"/>
      <c r="K20" s="1"/>
      <c r="L20" s="7" t="str">
        <f t="shared" si="0"/>
        <v/>
      </c>
      <c r="M20" s="3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3"/>
      <c r="J21" s="3"/>
      <c r="K21" s="1"/>
      <c r="L21" s="7" t="str">
        <f t="shared" si="0"/>
        <v/>
      </c>
      <c r="M21" s="3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3"/>
      <c r="J22" s="3"/>
      <c r="K22" s="1"/>
      <c r="L22" s="7" t="str">
        <f t="shared" si="0"/>
        <v/>
      </c>
      <c r="M22" s="3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3"/>
      <c r="J23" s="3"/>
      <c r="K23" s="1"/>
      <c r="L23" s="7" t="str">
        <f t="shared" si="0"/>
        <v/>
      </c>
      <c r="M23" s="3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3"/>
      <c r="J24" s="3"/>
      <c r="K24" s="1"/>
      <c r="L24" s="7" t="str">
        <f t="shared" si="0"/>
        <v/>
      </c>
      <c r="M24" s="3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3"/>
      <c r="J25" s="3"/>
      <c r="K25" s="1"/>
      <c r="L25" s="7" t="str">
        <f t="shared" si="0"/>
        <v/>
      </c>
      <c r="M25" s="3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3"/>
      <c r="J26" s="3"/>
      <c r="K26" s="1"/>
      <c r="L26" s="7" t="str">
        <f t="shared" si="0"/>
        <v/>
      </c>
      <c r="M26" s="3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3"/>
      <c r="J27" s="3"/>
      <c r="K27" s="1"/>
      <c r="L27" s="7" t="str">
        <f t="shared" si="0"/>
        <v/>
      </c>
      <c r="M27" s="3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3"/>
      <c r="J28" s="3"/>
      <c r="K28" s="1"/>
      <c r="L28" s="7" t="str">
        <f t="shared" si="0"/>
        <v/>
      </c>
      <c r="M28" s="3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3"/>
      <c r="J29" s="3"/>
      <c r="K29" s="1"/>
      <c r="L29" s="7" t="str">
        <f t="shared" si="0"/>
        <v/>
      </c>
      <c r="M29" s="3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3"/>
      <c r="J30" s="3"/>
      <c r="K30" s="1"/>
      <c r="L30" s="7" t="str">
        <f t="shared" si="0"/>
        <v/>
      </c>
      <c r="M30" s="3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3"/>
      <c r="J31" s="3"/>
      <c r="K31" s="1"/>
      <c r="L31" s="7" t="str">
        <f t="shared" si="0"/>
        <v/>
      </c>
      <c r="M31" s="3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3"/>
      <c r="J32" s="3"/>
      <c r="K32" s="1"/>
      <c r="L32" s="7" t="str">
        <f t="shared" si="0"/>
        <v/>
      </c>
      <c r="M32" s="3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1"/>
      <c r="G33" s="1"/>
      <c r="H33" s="1"/>
      <c r="I33" s="3"/>
      <c r="J33" s="3"/>
      <c r="K33" s="1"/>
      <c r="L33" s="7" t="str">
        <f t="shared" si="0"/>
        <v/>
      </c>
      <c r="M33" s="3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1"/>
      <c r="I34" s="3"/>
      <c r="J34" s="3"/>
      <c r="K34" s="1"/>
      <c r="L34" s="7" t="str">
        <f t="shared" si="0"/>
        <v/>
      </c>
      <c r="M34" s="3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1"/>
      <c r="I35" s="3"/>
      <c r="J35" s="3"/>
      <c r="K35" s="1"/>
      <c r="L35" s="7" t="str">
        <f t="shared" si="0"/>
        <v/>
      </c>
      <c r="M35" s="3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1"/>
      <c r="I36" s="3"/>
      <c r="J36" s="3"/>
      <c r="K36" s="1"/>
      <c r="L36" s="7" t="str">
        <f t="shared" si="0"/>
        <v/>
      </c>
      <c r="M36" s="3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1"/>
      <c r="I37" s="3"/>
      <c r="J37" s="3"/>
      <c r="K37" s="1"/>
      <c r="L37" s="7" t="str">
        <f t="shared" si="0"/>
        <v/>
      </c>
      <c r="M37" s="3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1"/>
      <c r="I38" s="3"/>
      <c r="J38" s="3"/>
      <c r="K38" s="1"/>
      <c r="L38" s="7" t="str">
        <f t="shared" si="0"/>
        <v/>
      </c>
      <c r="M38" s="3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3"/>
      <c r="J39" s="3"/>
      <c r="K39" s="1"/>
      <c r="L39" s="7" t="str">
        <f t="shared" si="0"/>
        <v/>
      </c>
      <c r="M39" s="3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1"/>
      <c r="G40" s="1"/>
      <c r="H40" s="1"/>
      <c r="I40" s="3"/>
      <c r="J40" s="3"/>
      <c r="K40" s="1"/>
      <c r="L40" s="7" t="str">
        <f t="shared" si="0"/>
        <v/>
      </c>
      <c r="M40" s="3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1"/>
      <c r="G41" s="1"/>
      <c r="H41" s="1"/>
      <c r="I41" s="3"/>
      <c r="J41" s="3"/>
      <c r="K41" s="1"/>
      <c r="L41" s="7" t="str">
        <f t="shared" si="0"/>
        <v/>
      </c>
      <c r="M41" s="3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1"/>
      <c r="G42" s="1"/>
      <c r="H42" s="1"/>
      <c r="I42" s="3"/>
      <c r="J42" s="3"/>
      <c r="K42" s="1"/>
      <c r="L42" s="7" t="str">
        <f t="shared" ref="L42:L73" si="1">IF(AND(C42="Active",J42&lt;&gt;"",K42&lt;&gt;""),J42+K42,"")</f>
        <v/>
      </c>
      <c r="M42" s="3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3"/>
      <c r="J43" s="3"/>
      <c r="K43" s="1"/>
      <c r="L43" s="7" t="str">
        <f t="shared" si="1"/>
        <v/>
      </c>
      <c r="M43" s="3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1"/>
      <c r="G44" s="1"/>
      <c r="H44" s="1"/>
      <c r="I44" s="3"/>
      <c r="J44" s="3"/>
      <c r="K44" s="1"/>
      <c r="L44" s="7" t="str">
        <f t="shared" si="1"/>
        <v/>
      </c>
      <c r="M44" s="3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1"/>
      <c r="G45" s="1"/>
      <c r="H45" s="1"/>
      <c r="I45" s="3"/>
      <c r="J45" s="3"/>
      <c r="K45" s="1"/>
      <c r="L45" s="7" t="str">
        <f t="shared" si="1"/>
        <v/>
      </c>
      <c r="M45" s="3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3"/>
      <c r="J46" s="3"/>
      <c r="K46" s="1"/>
      <c r="L46" s="7" t="str">
        <f t="shared" si="1"/>
        <v/>
      </c>
      <c r="M46" s="3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3"/>
      <c r="J47" s="3"/>
      <c r="K47" s="1"/>
      <c r="L47" s="7" t="str">
        <f t="shared" si="1"/>
        <v/>
      </c>
      <c r="M47" s="3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3"/>
      <c r="J48" s="3"/>
      <c r="K48" s="1"/>
      <c r="L48" s="7" t="str">
        <f t="shared" si="1"/>
        <v/>
      </c>
      <c r="M48" s="3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3"/>
      <c r="J49" s="3"/>
      <c r="K49" s="1"/>
      <c r="L49" s="7" t="str">
        <f t="shared" si="1"/>
        <v/>
      </c>
      <c r="M49" s="3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3"/>
      <c r="J50" s="3"/>
      <c r="K50" s="1"/>
      <c r="L50" s="7" t="str">
        <f t="shared" si="1"/>
        <v/>
      </c>
      <c r="M50" s="3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3"/>
      <c r="J51" s="3"/>
      <c r="K51" s="1"/>
      <c r="L51" s="7" t="str">
        <f t="shared" si="1"/>
        <v/>
      </c>
      <c r="M51" s="3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3"/>
      <c r="J52" s="3"/>
      <c r="K52" s="1"/>
      <c r="L52" s="7" t="str">
        <f t="shared" si="1"/>
        <v/>
      </c>
      <c r="M52" s="3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3"/>
      <c r="J53" s="3"/>
      <c r="K53" s="1"/>
      <c r="L53" s="7" t="str">
        <f t="shared" si="1"/>
        <v/>
      </c>
      <c r="M53" s="3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1"/>
      <c r="G54" s="1"/>
      <c r="H54" s="1"/>
      <c r="I54" s="3"/>
      <c r="J54" s="3"/>
      <c r="K54" s="1"/>
      <c r="L54" s="7" t="str">
        <f t="shared" si="1"/>
        <v/>
      </c>
      <c r="M54" s="3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1"/>
      <c r="G55" s="1"/>
      <c r="H55" s="1"/>
      <c r="I55" s="3"/>
      <c r="J55" s="3"/>
      <c r="K55" s="1"/>
      <c r="L55" s="7" t="str">
        <f t="shared" si="1"/>
        <v/>
      </c>
      <c r="M55" s="3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1"/>
      <c r="G56" s="1"/>
      <c r="H56" s="1"/>
      <c r="I56" s="3"/>
      <c r="J56" s="3"/>
      <c r="K56" s="1"/>
      <c r="L56" s="7" t="str">
        <f t="shared" si="1"/>
        <v/>
      </c>
      <c r="M56" s="3"/>
      <c r="N56" s="1"/>
      <c r="O56" s="1"/>
      <c r="P56" s="1"/>
      <c r="Q56" s="1"/>
      <c r="R56" s="1"/>
      <c r="S56" s="1"/>
    </row>
    <row r="57" spans="1:19">
      <c r="A57" s="1"/>
      <c r="B57" s="1"/>
      <c r="C57" s="1"/>
      <c r="D57" s="1"/>
      <c r="E57" s="1"/>
      <c r="F57" s="1"/>
      <c r="G57" s="1"/>
      <c r="H57" s="1"/>
      <c r="I57" s="3"/>
      <c r="J57" s="3"/>
      <c r="K57" s="1"/>
      <c r="L57" s="7" t="str">
        <f t="shared" si="1"/>
        <v/>
      </c>
      <c r="M57" s="3"/>
      <c r="N57" s="1"/>
      <c r="O57" s="1"/>
      <c r="P57" s="1"/>
      <c r="Q57" s="1"/>
      <c r="R57" s="1"/>
      <c r="S57" s="1"/>
    </row>
    <row r="58" spans="1:19">
      <c r="A58" s="1"/>
      <c r="B58" s="1"/>
      <c r="C58" s="1"/>
      <c r="D58" s="1"/>
      <c r="E58" s="1"/>
      <c r="F58" s="1"/>
      <c r="G58" s="1"/>
      <c r="H58" s="1"/>
      <c r="I58" s="3"/>
      <c r="J58" s="3"/>
      <c r="K58" s="1"/>
      <c r="L58" s="7" t="str">
        <f t="shared" si="1"/>
        <v/>
      </c>
      <c r="M58" s="3"/>
      <c r="N58" s="1"/>
      <c r="O58" s="1"/>
      <c r="P58" s="1"/>
      <c r="Q58" s="1"/>
      <c r="R58" s="1"/>
      <c r="S58" s="1"/>
    </row>
    <row r="59" spans="1:19">
      <c r="A59" s="1"/>
      <c r="B59" s="1"/>
      <c r="C59" s="1"/>
      <c r="D59" s="1"/>
      <c r="E59" s="1"/>
      <c r="F59" s="1"/>
      <c r="G59" s="1"/>
      <c r="H59" s="1"/>
      <c r="I59" s="3"/>
      <c r="J59" s="3"/>
      <c r="K59" s="1"/>
      <c r="L59" s="7" t="str">
        <f t="shared" si="1"/>
        <v/>
      </c>
      <c r="M59" s="3"/>
      <c r="N59" s="1"/>
      <c r="O59" s="1"/>
      <c r="P59" s="1"/>
      <c r="Q59" s="1"/>
      <c r="R59" s="1"/>
      <c r="S59" s="1"/>
    </row>
    <row r="60" spans="1:19">
      <c r="A60" s="1"/>
      <c r="B60" s="1"/>
      <c r="C60" s="1"/>
      <c r="D60" s="1"/>
      <c r="E60" s="1"/>
      <c r="F60" s="1"/>
      <c r="G60" s="1"/>
      <c r="H60" s="1"/>
      <c r="I60" s="3"/>
      <c r="J60" s="3"/>
      <c r="K60" s="1"/>
      <c r="L60" s="7" t="str">
        <f t="shared" si="1"/>
        <v/>
      </c>
      <c r="M60" s="3"/>
      <c r="N60" s="1"/>
      <c r="O60" s="1"/>
      <c r="P60" s="1"/>
      <c r="Q60" s="1"/>
      <c r="R60" s="1"/>
      <c r="S60" s="1"/>
    </row>
    <row r="61" spans="1:19">
      <c r="A61" s="1"/>
      <c r="B61" s="1"/>
      <c r="C61" s="1"/>
      <c r="D61" s="1"/>
      <c r="E61" s="1"/>
      <c r="F61" s="1"/>
      <c r="G61" s="1"/>
      <c r="H61" s="1"/>
      <c r="I61" s="3"/>
      <c r="J61" s="3"/>
      <c r="K61" s="1"/>
      <c r="L61" s="7" t="str">
        <f t="shared" si="1"/>
        <v/>
      </c>
      <c r="M61" s="3"/>
      <c r="N61" s="1"/>
      <c r="O61" s="1"/>
      <c r="P61" s="1"/>
      <c r="Q61" s="1"/>
      <c r="R61" s="1"/>
      <c r="S61" s="1"/>
    </row>
    <row r="62" spans="1:19">
      <c r="A62" s="1"/>
      <c r="B62" s="1"/>
      <c r="C62" s="1"/>
      <c r="D62" s="1"/>
      <c r="E62" s="1"/>
      <c r="F62" s="1"/>
      <c r="G62" s="1"/>
      <c r="H62" s="1"/>
      <c r="I62" s="3"/>
      <c r="J62" s="3"/>
      <c r="K62" s="1"/>
      <c r="L62" s="7" t="str">
        <f t="shared" si="1"/>
        <v/>
      </c>
      <c r="M62" s="3"/>
      <c r="N62" s="1"/>
      <c r="O62" s="1"/>
      <c r="P62" s="1"/>
      <c r="Q62" s="1"/>
      <c r="R62" s="1"/>
      <c r="S62" s="1"/>
    </row>
    <row r="63" spans="1:19">
      <c r="A63" s="1"/>
      <c r="B63" s="1"/>
      <c r="C63" s="1"/>
      <c r="D63" s="1"/>
      <c r="E63" s="1"/>
      <c r="F63" s="1"/>
      <c r="G63" s="1"/>
      <c r="H63" s="1"/>
      <c r="I63" s="3"/>
      <c r="J63" s="3"/>
      <c r="K63" s="1"/>
      <c r="L63" s="7" t="str">
        <f t="shared" si="1"/>
        <v/>
      </c>
      <c r="M63" s="3"/>
      <c r="N63" s="1"/>
      <c r="O63" s="1"/>
      <c r="P63" s="1"/>
      <c r="Q63" s="1"/>
      <c r="R63" s="1"/>
      <c r="S63" s="1"/>
    </row>
    <row r="64" spans="1:19">
      <c r="A64" s="1"/>
      <c r="B64" s="1"/>
      <c r="C64" s="1"/>
      <c r="D64" s="1"/>
      <c r="E64" s="1"/>
      <c r="F64" s="1"/>
      <c r="G64" s="1"/>
      <c r="H64" s="1"/>
      <c r="I64" s="3"/>
      <c r="J64" s="3"/>
      <c r="K64" s="1"/>
      <c r="L64" s="7" t="str">
        <f t="shared" si="1"/>
        <v/>
      </c>
      <c r="M64" s="3"/>
      <c r="N64" s="1"/>
      <c r="O64" s="1"/>
      <c r="P64" s="1"/>
      <c r="Q64" s="1"/>
      <c r="R64" s="1"/>
      <c r="S64" s="1"/>
    </row>
    <row r="65" spans="1:19">
      <c r="A65" s="1"/>
      <c r="B65" s="1"/>
      <c r="C65" s="1"/>
      <c r="D65" s="1"/>
      <c r="E65" s="1"/>
      <c r="F65" s="1"/>
      <c r="G65" s="1"/>
      <c r="H65" s="1"/>
      <c r="I65" s="3"/>
      <c r="J65" s="3"/>
      <c r="K65" s="1"/>
      <c r="L65" s="7" t="str">
        <f t="shared" si="1"/>
        <v/>
      </c>
      <c r="M65" s="3"/>
      <c r="N65" s="1"/>
      <c r="O65" s="1"/>
      <c r="P65" s="1"/>
      <c r="Q65" s="1"/>
      <c r="R65" s="1"/>
      <c r="S65" s="1"/>
    </row>
    <row r="66" spans="1:19">
      <c r="A66" s="1"/>
      <c r="B66" s="1"/>
      <c r="C66" s="1"/>
      <c r="D66" s="1"/>
      <c r="E66" s="1"/>
      <c r="F66" s="1"/>
      <c r="G66" s="1"/>
      <c r="H66" s="1"/>
      <c r="I66" s="3"/>
      <c r="J66" s="3"/>
      <c r="K66" s="1"/>
      <c r="L66" s="7" t="str">
        <f t="shared" si="1"/>
        <v/>
      </c>
      <c r="M66" s="3"/>
      <c r="N66" s="1"/>
      <c r="O66" s="1"/>
      <c r="P66" s="1"/>
      <c r="Q66" s="1"/>
      <c r="R66" s="1"/>
      <c r="S66" s="1"/>
    </row>
    <row r="67" spans="1:19">
      <c r="A67" s="1"/>
      <c r="B67" s="1"/>
      <c r="C67" s="1"/>
      <c r="D67" s="1"/>
      <c r="E67" s="1"/>
      <c r="F67" s="1"/>
      <c r="G67" s="1"/>
      <c r="H67" s="1"/>
      <c r="I67" s="3"/>
      <c r="J67" s="3"/>
      <c r="K67" s="1"/>
      <c r="L67" s="7" t="str">
        <f t="shared" si="1"/>
        <v/>
      </c>
      <c r="M67" s="3"/>
      <c r="N67" s="1"/>
      <c r="O67" s="1"/>
      <c r="P67" s="1"/>
      <c r="Q67" s="1"/>
      <c r="R67" s="1"/>
      <c r="S67" s="1"/>
    </row>
    <row r="68" spans="1:19">
      <c r="A68" s="1"/>
      <c r="B68" s="1"/>
      <c r="C68" s="1"/>
      <c r="D68" s="1"/>
      <c r="E68" s="1"/>
      <c r="F68" s="1"/>
      <c r="G68" s="1"/>
      <c r="H68" s="1"/>
      <c r="I68" s="3"/>
      <c r="J68" s="3"/>
      <c r="K68" s="1"/>
      <c r="L68" s="7" t="str">
        <f t="shared" si="1"/>
        <v/>
      </c>
      <c r="M68" s="3"/>
      <c r="N68" s="1"/>
      <c r="O68" s="1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"/>
      <c r="H69" s="1"/>
      <c r="I69" s="3"/>
      <c r="J69" s="3"/>
      <c r="K69" s="1"/>
      <c r="L69" s="7" t="str">
        <f t="shared" si="1"/>
        <v/>
      </c>
      <c r="M69" s="3"/>
      <c r="N69" s="1"/>
      <c r="O69" s="1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"/>
      <c r="H70" s="1"/>
      <c r="I70" s="3"/>
      <c r="J70" s="3"/>
      <c r="K70" s="1"/>
      <c r="L70" s="7" t="str">
        <f t="shared" si="1"/>
        <v/>
      </c>
      <c r="M70" s="3"/>
      <c r="N70" s="1"/>
      <c r="O70" s="1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"/>
      <c r="H71" s="1"/>
      <c r="I71" s="3"/>
      <c r="J71" s="3"/>
      <c r="K71" s="1"/>
      <c r="L71" s="7" t="str">
        <f t="shared" si="1"/>
        <v/>
      </c>
      <c r="M71" s="3"/>
      <c r="N71" s="1"/>
      <c r="O71" s="1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"/>
      <c r="H72" s="1"/>
      <c r="I72" s="3"/>
      <c r="J72" s="3"/>
      <c r="K72" s="1"/>
      <c r="L72" s="7" t="str">
        <f t="shared" si="1"/>
        <v/>
      </c>
      <c r="M72" s="3"/>
      <c r="N72" s="1"/>
      <c r="O72" s="1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"/>
      <c r="H73" s="1"/>
      <c r="I73" s="3"/>
      <c r="J73" s="3"/>
      <c r="K73" s="1"/>
      <c r="L73" s="7" t="str">
        <f t="shared" si="1"/>
        <v/>
      </c>
      <c r="M73" s="3"/>
      <c r="N73" s="1"/>
      <c r="O73" s="1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"/>
      <c r="H74" s="1"/>
      <c r="I74" s="3"/>
      <c r="J74" s="3"/>
      <c r="K74" s="1"/>
      <c r="L74" s="7" t="str">
        <f t="shared" ref="L74:L105" si="2">IF(AND(C74="Active",J74&lt;&gt;"",K74&lt;&gt;""),J74+K74,"")</f>
        <v/>
      </c>
      <c r="M74" s="3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3"/>
      <c r="J75" s="3"/>
      <c r="K75" s="1"/>
      <c r="L75" s="7" t="str">
        <f t="shared" si="2"/>
        <v/>
      </c>
      <c r="M75" s="3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3"/>
      <c r="J76" s="3"/>
      <c r="K76" s="1"/>
      <c r="L76" s="7" t="str">
        <f t="shared" si="2"/>
        <v/>
      </c>
      <c r="M76" s="3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3"/>
      <c r="J77" s="3"/>
      <c r="K77" s="1"/>
      <c r="L77" s="7" t="str">
        <f t="shared" si="2"/>
        <v/>
      </c>
      <c r="M77" s="3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3"/>
      <c r="J78" s="3"/>
      <c r="K78" s="1"/>
      <c r="L78" s="7" t="str">
        <f t="shared" si="2"/>
        <v/>
      </c>
      <c r="M78" s="3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3"/>
      <c r="J79" s="3"/>
      <c r="K79" s="1"/>
      <c r="L79" s="7" t="str">
        <f t="shared" si="2"/>
        <v/>
      </c>
      <c r="M79" s="3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3"/>
      <c r="J80" s="3"/>
      <c r="K80" s="1"/>
      <c r="L80" s="7" t="str">
        <f t="shared" si="2"/>
        <v/>
      </c>
      <c r="M80" s="3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3"/>
      <c r="J81" s="3"/>
      <c r="K81" s="1"/>
      <c r="L81" s="7" t="str">
        <f t="shared" si="2"/>
        <v/>
      </c>
      <c r="M81" s="3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3"/>
      <c r="J82" s="3"/>
      <c r="K82" s="1"/>
      <c r="L82" s="7" t="str">
        <f t="shared" si="2"/>
        <v/>
      </c>
      <c r="M82" s="3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3"/>
      <c r="J83" s="3"/>
      <c r="K83" s="1"/>
      <c r="L83" s="7" t="str">
        <f t="shared" si="2"/>
        <v/>
      </c>
      <c r="M83" s="3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3"/>
      <c r="J84" s="3"/>
      <c r="K84" s="1"/>
      <c r="L84" s="7" t="str">
        <f t="shared" si="2"/>
        <v/>
      </c>
      <c r="M84" s="3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3"/>
      <c r="J85" s="3"/>
      <c r="K85" s="1"/>
      <c r="L85" s="7" t="str">
        <f t="shared" si="2"/>
        <v/>
      </c>
      <c r="M85" s="3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3"/>
      <c r="J86" s="3"/>
      <c r="K86" s="1"/>
      <c r="L86" s="7" t="str">
        <f t="shared" si="2"/>
        <v/>
      </c>
      <c r="M86" s="3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3"/>
      <c r="J87" s="3"/>
      <c r="K87" s="1"/>
      <c r="L87" s="7" t="str">
        <f t="shared" si="2"/>
        <v/>
      </c>
      <c r="M87" s="3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3"/>
      <c r="J88" s="3"/>
      <c r="K88" s="1"/>
      <c r="L88" s="7" t="str">
        <f t="shared" si="2"/>
        <v/>
      </c>
      <c r="M88" s="3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3"/>
      <c r="J89" s="3"/>
      <c r="K89" s="1"/>
      <c r="L89" s="7" t="str">
        <f t="shared" si="2"/>
        <v/>
      </c>
      <c r="M89" s="3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3"/>
      <c r="J90" s="3"/>
      <c r="K90" s="1"/>
      <c r="L90" s="7" t="str">
        <f t="shared" si="2"/>
        <v/>
      </c>
      <c r="M90" s="3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3"/>
      <c r="J91" s="3"/>
      <c r="K91" s="1"/>
      <c r="L91" s="7" t="str">
        <f t="shared" si="2"/>
        <v/>
      </c>
      <c r="M91" s="3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3"/>
      <c r="J92" s="3"/>
      <c r="K92" s="1"/>
      <c r="L92" s="7" t="str">
        <f t="shared" si="2"/>
        <v/>
      </c>
      <c r="M92" s="3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3"/>
      <c r="J93" s="3"/>
      <c r="K93" s="1"/>
      <c r="L93" s="7" t="str">
        <f t="shared" si="2"/>
        <v/>
      </c>
      <c r="M93" s="3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3"/>
      <c r="J94" s="3"/>
      <c r="K94" s="1"/>
      <c r="L94" s="7" t="str">
        <f t="shared" si="2"/>
        <v/>
      </c>
      <c r="M94" s="3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3"/>
      <c r="J95" s="3"/>
      <c r="K95" s="1"/>
      <c r="L95" s="7" t="str">
        <f t="shared" si="2"/>
        <v/>
      </c>
      <c r="M95" s="3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3"/>
      <c r="J96" s="3"/>
      <c r="K96" s="1"/>
      <c r="L96" s="7" t="str">
        <f t="shared" si="2"/>
        <v/>
      </c>
      <c r="M96" s="3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3"/>
      <c r="J97" s="3"/>
      <c r="K97" s="1"/>
      <c r="L97" s="7" t="str">
        <f t="shared" si="2"/>
        <v/>
      </c>
      <c r="M97" s="3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3"/>
      <c r="J98" s="3"/>
      <c r="K98" s="1"/>
      <c r="L98" s="7" t="str">
        <f t="shared" si="2"/>
        <v/>
      </c>
      <c r="M98" s="3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3"/>
      <c r="J99" s="3"/>
      <c r="K99" s="1"/>
      <c r="L99" s="7" t="str">
        <f t="shared" si="2"/>
        <v/>
      </c>
      <c r="M99" s="3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1"/>
      <c r="L100" s="7" t="str">
        <f t="shared" si="2"/>
        <v/>
      </c>
      <c r="M100" s="3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1"/>
      <c r="L101" s="7" t="str">
        <f t="shared" si="2"/>
        <v/>
      </c>
      <c r="M101" s="3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1"/>
      <c r="L102" s="7" t="str">
        <f t="shared" si="2"/>
        <v/>
      </c>
      <c r="M102" s="3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1"/>
      <c r="L103" s="7" t="str">
        <f t="shared" si="2"/>
        <v/>
      </c>
      <c r="M103" s="3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1"/>
      <c r="L104" s="7" t="str">
        <f t="shared" si="2"/>
        <v/>
      </c>
      <c r="M104" s="3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1"/>
      <c r="L105" s="7" t="str">
        <f t="shared" si="2"/>
        <v/>
      </c>
      <c r="M105" s="3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1"/>
      <c r="L106" s="7" t="str">
        <f t="shared" ref="L106:L137" si="3">IF(AND(C106="Active",J106&lt;&gt;"",K106&lt;&gt;""),J106+K106,"")</f>
        <v/>
      </c>
      <c r="M106" s="3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1"/>
      <c r="L107" s="7" t="str">
        <f t="shared" si="3"/>
        <v/>
      </c>
      <c r="M107" s="3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1"/>
      <c r="L108" s="7" t="str">
        <f t="shared" si="3"/>
        <v/>
      </c>
      <c r="M108" s="3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1"/>
      <c r="L109" s="7" t="str">
        <f t="shared" si="3"/>
        <v/>
      </c>
      <c r="M109" s="3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1"/>
      <c r="L110" s="7" t="str">
        <f t="shared" si="3"/>
        <v/>
      </c>
      <c r="M110" s="3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1"/>
      <c r="L111" s="7" t="str">
        <f t="shared" si="3"/>
        <v/>
      </c>
      <c r="M111" s="3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1"/>
      <c r="L112" s="7" t="str">
        <f t="shared" si="3"/>
        <v/>
      </c>
      <c r="M112" s="3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1"/>
      <c r="L113" s="7" t="str">
        <f t="shared" si="3"/>
        <v/>
      </c>
      <c r="M113" s="3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1"/>
      <c r="L114" s="7" t="str">
        <f t="shared" si="3"/>
        <v/>
      </c>
      <c r="M114" s="3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1"/>
      <c r="L115" s="7" t="str">
        <f t="shared" si="3"/>
        <v/>
      </c>
      <c r="M115" s="3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1"/>
      <c r="L116" s="7" t="str">
        <f t="shared" si="3"/>
        <v/>
      </c>
      <c r="M116" s="3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1"/>
      <c r="L117" s="7" t="str">
        <f t="shared" si="3"/>
        <v/>
      </c>
      <c r="M117" s="3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1"/>
      <c r="L118" s="7" t="str">
        <f t="shared" si="3"/>
        <v/>
      </c>
      <c r="M118" s="3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1"/>
      <c r="L119" s="7" t="str">
        <f t="shared" si="3"/>
        <v/>
      </c>
      <c r="M119" s="3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1"/>
      <c r="L120" s="7" t="str">
        <f t="shared" si="3"/>
        <v/>
      </c>
      <c r="M120" s="3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1"/>
      <c r="L121" s="7" t="str">
        <f t="shared" si="3"/>
        <v/>
      </c>
      <c r="M121" s="3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1"/>
      <c r="L122" s="7" t="str">
        <f t="shared" si="3"/>
        <v/>
      </c>
      <c r="M122" s="3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1"/>
      <c r="L123" s="7" t="str">
        <f t="shared" si="3"/>
        <v/>
      </c>
      <c r="M123" s="3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1"/>
      <c r="L124" s="7" t="str">
        <f t="shared" si="3"/>
        <v/>
      </c>
      <c r="M124" s="3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1"/>
      <c r="L125" s="7" t="str">
        <f t="shared" si="3"/>
        <v/>
      </c>
      <c r="M125" s="3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1"/>
      <c r="L126" s="7" t="str">
        <f t="shared" si="3"/>
        <v/>
      </c>
      <c r="M126" s="3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1"/>
      <c r="L127" s="7" t="str">
        <f t="shared" si="3"/>
        <v/>
      </c>
      <c r="M127" s="3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1"/>
      <c r="L128" s="7" t="str">
        <f t="shared" si="3"/>
        <v/>
      </c>
      <c r="M128" s="3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1"/>
      <c r="L129" s="7" t="str">
        <f t="shared" si="3"/>
        <v/>
      </c>
      <c r="M129" s="3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1"/>
      <c r="L130" s="7" t="str">
        <f t="shared" si="3"/>
        <v/>
      </c>
      <c r="M130" s="3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1"/>
      <c r="L131" s="7" t="str">
        <f t="shared" si="3"/>
        <v/>
      </c>
      <c r="M131" s="3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1"/>
      <c r="L132" s="7" t="str">
        <f t="shared" si="3"/>
        <v/>
      </c>
      <c r="M132" s="3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1"/>
      <c r="L133" s="7" t="str">
        <f t="shared" si="3"/>
        <v/>
      </c>
      <c r="M133" s="3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1"/>
      <c r="L134" s="7" t="str">
        <f t="shared" si="3"/>
        <v/>
      </c>
      <c r="M134" s="3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1"/>
      <c r="L135" s="7" t="str">
        <f t="shared" si="3"/>
        <v/>
      </c>
      <c r="M135" s="3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1"/>
      <c r="L136" s="7" t="str">
        <f t="shared" si="3"/>
        <v/>
      </c>
      <c r="M136" s="3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1"/>
      <c r="L137" s="7" t="str">
        <f t="shared" si="3"/>
        <v/>
      </c>
      <c r="M137" s="3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1"/>
      <c r="L138" s="7" t="str">
        <f t="shared" ref="L138:L169" si="4">IF(AND(C138="Active",J138&lt;&gt;"",K138&lt;&gt;""),J138+K138,"")</f>
        <v/>
      </c>
      <c r="M138" s="3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1"/>
      <c r="L139" s="7" t="str">
        <f t="shared" si="4"/>
        <v/>
      </c>
      <c r="M139" s="3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1"/>
      <c r="L140" s="7" t="str">
        <f t="shared" si="4"/>
        <v/>
      </c>
      <c r="M140" s="3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1"/>
      <c r="L141" s="7" t="str">
        <f t="shared" si="4"/>
        <v/>
      </c>
      <c r="M141" s="3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1"/>
      <c r="L142" s="7" t="str">
        <f t="shared" si="4"/>
        <v/>
      </c>
      <c r="M142" s="3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1"/>
      <c r="L143" s="7" t="str">
        <f t="shared" si="4"/>
        <v/>
      </c>
      <c r="M143" s="3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1"/>
      <c r="L144" s="7" t="str">
        <f t="shared" si="4"/>
        <v/>
      </c>
      <c r="M144" s="3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1"/>
      <c r="L145" s="7" t="str">
        <f t="shared" si="4"/>
        <v/>
      </c>
      <c r="M145" s="3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1"/>
      <c r="L146" s="7" t="str">
        <f t="shared" si="4"/>
        <v/>
      </c>
      <c r="M146" s="3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1"/>
      <c r="L147" s="7" t="str">
        <f t="shared" si="4"/>
        <v/>
      </c>
      <c r="M147" s="3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1"/>
      <c r="L148" s="7" t="str">
        <f t="shared" si="4"/>
        <v/>
      </c>
      <c r="M148" s="3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1"/>
      <c r="L149" s="7" t="str">
        <f t="shared" si="4"/>
        <v/>
      </c>
      <c r="M149" s="3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1"/>
      <c r="L150" s="7" t="str">
        <f t="shared" si="4"/>
        <v/>
      </c>
      <c r="M150" s="3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1"/>
      <c r="L151" s="7" t="str">
        <f t="shared" si="4"/>
        <v/>
      </c>
      <c r="M151" s="3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1"/>
      <c r="L152" s="7" t="str">
        <f t="shared" si="4"/>
        <v/>
      </c>
      <c r="M152" s="3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1"/>
      <c r="L153" s="7" t="str">
        <f t="shared" si="4"/>
        <v/>
      </c>
      <c r="M153" s="3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1"/>
      <c r="L154" s="7" t="str">
        <f t="shared" si="4"/>
        <v/>
      </c>
      <c r="M154" s="3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1"/>
      <c r="L155" s="7" t="str">
        <f t="shared" si="4"/>
        <v/>
      </c>
      <c r="M155" s="3"/>
      <c r="N155" s="1"/>
      <c r="O155" s="1"/>
      <c r="P155" s="1"/>
      <c r="Q155" s="1"/>
      <c r="R155" s="1"/>
      <c r="S155" s="1"/>
    </row>
  </sheetData>
  <mergeCells count="2">
    <mergeCell ref="A1:S2"/>
    <mergeCell ref="A3:S3"/>
  </mergeCells>
  <conditionalFormatting sqref="Q6:Q1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R6:R1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4">
    <dataValidation type="list" allowBlank="1" showErrorMessage="1" errorTitle="Choose from the list" error="Choose a value from the dropdown, or add a custom option on Customize Lists." sqref="B6:B155" xr:uid="{00000000-0002-0000-0600-000000000000}">
      <formula1>INDIRECT("'Customize Lists'!$E$55:$E$69")</formula1>
    </dataValidation>
    <dataValidation type="list" allowBlank="1" showErrorMessage="1" errorTitle="Choose from the list" error="Choose a value from the dropdown, or add a custom option on Customize Lists." sqref="C6:C155" xr:uid="{00000000-0002-0000-0600-000001000000}">
      <formula1>INDIRECT("'Customize Lists'!$G$55:$G$65")</formula1>
    </dataValidation>
    <dataValidation type="list" allowBlank="1" showErrorMessage="1" errorTitle="Choose from the list" error="Choose a value from the dropdown, or add a custom option on Customize Lists." sqref="O6:O155" xr:uid="{00000000-0002-0000-0600-000002000000}">
      <formula1>INDIRECT("'Customize Lists'!$A$79:$A$86")</formula1>
    </dataValidation>
    <dataValidation type="list" allowBlank="1" showErrorMessage="1" errorTitle="Choose from the list" error="Choose a value from the dropdown, or add a custom option on Customize Lists." sqref="Q6:R155" xr:uid="{00000000-0002-0000-0600-000003000000}">
      <formula1>INDIRECT("'Customize Lists'!$G$7:$G$22")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5"/>
  <sheetViews>
    <sheetView tabSelected="1" workbookViewId="0">
      <selection activeCell="E26" sqref="E26"/>
    </sheetView>
  </sheetViews>
  <sheetFormatPr defaultRowHeight="14.25"/>
  <cols>
    <col min="1" max="1" width="12" customWidth="1"/>
    <col min="2" max="2" width="11" customWidth="1"/>
    <col min="3" max="3" width="28" customWidth="1"/>
    <col min="4" max="4" width="20" customWidth="1"/>
    <col min="5" max="5" width="22" customWidth="1"/>
    <col min="6" max="6" width="20" customWidth="1"/>
    <col min="7" max="7" width="32" customWidth="1"/>
    <col min="8" max="8" width="34" customWidth="1"/>
    <col min="9" max="9" width="16" customWidth="1"/>
    <col min="10" max="11" width="28" customWidth="1"/>
    <col min="12" max="12" width="15" customWidth="1"/>
    <col min="13" max="13" width="13" customWidth="1"/>
    <col min="14" max="14" width="44" customWidth="1"/>
  </cols>
  <sheetData>
    <row r="1" spans="1:14" ht="32.1" customHeight="1">
      <c r="A1" s="19" t="s">
        <v>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30" t="s">
        <v>433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5" spans="1:14" ht="33.950000000000003" customHeight="1">
      <c r="A5" s="12" t="s">
        <v>226</v>
      </c>
      <c r="B5" s="12" t="s">
        <v>265</v>
      </c>
      <c r="C5" s="12" t="s">
        <v>385</v>
      </c>
      <c r="D5" s="12" t="s">
        <v>434</v>
      </c>
      <c r="E5" s="12" t="s">
        <v>435</v>
      </c>
      <c r="F5" s="12" t="s">
        <v>436</v>
      </c>
      <c r="G5" s="12" t="s">
        <v>437</v>
      </c>
      <c r="H5" s="12" t="s">
        <v>438</v>
      </c>
      <c r="I5" s="12" t="s">
        <v>439</v>
      </c>
      <c r="J5" s="12" t="s">
        <v>440</v>
      </c>
      <c r="K5" s="12" t="s">
        <v>441</v>
      </c>
      <c r="L5" s="12" t="s">
        <v>401</v>
      </c>
      <c r="M5" s="12" t="s">
        <v>442</v>
      </c>
      <c r="N5" s="12" t="s">
        <v>61</v>
      </c>
    </row>
    <row r="6" spans="1:14" ht="28.5">
      <c r="A6" s="3">
        <v>46275</v>
      </c>
      <c r="B6" s="5" t="s">
        <v>289</v>
      </c>
      <c r="C6" s="1" t="s">
        <v>403</v>
      </c>
      <c r="D6" s="1" t="s">
        <v>443</v>
      </c>
      <c r="E6" s="1" t="s">
        <v>444</v>
      </c>
      <c r="F6" s="1" t="s">
        <v>64</v>
      </c>
      <c r="G6" s="1"/>
      <c r="H6" s="1" t="s">
        <v>445</v>
      </c>
      <c r="I6" s="1">
        <v>0</v>
      </c>
      <c r="J6" s="1" t="s">
        <v>446</v>
      </c>
      <c r="K6" s="1" t="s">
        <v>447</v>
      </c>
      <c r="L6" s="1">
        <v>6</v>
      </c>
      <c r="M6" s="1" t="s">
        <v>81</v>
      </c>
      <c r="N6" s="1" t="s">
        <v>448</v>
      </c>
    </row>
    <row r="7" spans="1:14" ht="28.5">
      <c r="A7" s="3">
        <v>46286</v>
      </c>
      <c r="B7" s="5" t="s">
        <v>324</v>
      </c>
      <c r="C7" s="1" t="s">
        <v>412</v>
      </c>
      <c r="D7" s="1" t="s">
        <v>449</v>
      </c>
      <c r="E7" s="1" t="s">
        <v>450</v>
      </c>
      <c r="F7" s="1" t="s">
        <v>81</v>
      </c>
      <c r="G7" s="1" t="s">
        <v>451</v>
      </c>
      <c r="H7" s="1" t="s">
        <v>430</v>
      </c>
      <c r="I7" s="1">
        <v>0</v>
      </c>
      <c r="J7" s="1" t="s">
        <v>452</v>
      </c>
      <c r="K7" s="1" t="s">
        <v>453</v>
      </c>
      <c r="L7" s="1">
        <v>0</v>
      </c>
      <c r="M7" s="1" t="s">
        <v>64</v>
      </c>
      <c r="N7" s="1" t="s">
        <v>454</v>
      </c>
    </row>
    <row r="8" spans="1:14">
      <c r="A8" s="3">
        <v>46288</v>
      </c>
      <c r="B8" s="5" t="s">
        <v>331</v>
      </c>
      <c r="C8" s="1" t="s">
        <v>412</v>
      </c>
      <c r="D8" s="1" t="s">
        <v>449</v>
      </c>
      <c r="E8" s="1" t="s">
        <v>455</v>
      </c>
      <c r="F8" s="1" t="s">
        <v>81</v>
      </c>
      <c r="G8" s="1" t="s">
        <v>456</v>
      </c>
      <c r="H8" s="1" t="s">
        <v>430</v>
      </c>
      <c r="I8" s="1">
        <v>0</v>
      </c>
      <c r="J8" s="1" t="s">
        <v>446</v>
      </c>
      <c r="K8" s="1" t="s">
        <v>457</v>
      </c>
      <c r="L8" s="1">
        <v>0</v>
      </c>
      <c r="M8" s="1" t="s">
        <v>64</v>
      </c>
      <c r="N8" s="1" t="s">
        <v>458</v>
      </c>
    </row>
    <row r="9" spans="1:14" ht="28.5">
      <c r="A9" s="3">
        <v>46290</v>
      </c>
      <c r="B9" s="5" t="s">
        <v>459</v>
      </c>
      <c r="C9" s="1" t="s">
        <v>412</v>
      </c>
      <c r="D9" s="1" t="s">
        <v>443</v>
      </c>
      <c r="E9" s="1" t="s">
        <v>460</v>
      </c>
      <c r="F9" s="1" t="s">
        <v>64</v>
      </c>
      <c r="G9" s="1"/>
      <c r="H9" s="1" t="s">
        <v>461</v>
      </c>
      <c r="I9" s="1">
        <v>3</v>
      </c>
      <c r="J9" s="1" t="s">
        <v>462</v>
      </c>
      <c r="K9" s="1" t="s">
        <v>463</v>
      </c>
      <c r="L9" s="1">
        <v>8</v>
      </c>
      <c r="M9" s="1" t="s">
        <v>81</v>
      </c>
      <c r="N9" s="1" t="s">
        <v>464</v>
      </c>
    </row>
    <row r="10" spans="1:14" ht="28.5">
      <c r="A10" s="3">
        <v>46296</v>
      </c>
      <c r="B10" s="5" t="s">
        <v>289</v>
      </c>
      <c r="C10" s="1" t="s">
        <v>403</v>
      </c>
      <c r="D10" s="1" t="s">
        <v>443</v>
      </c>
      <c r="E10" s="1" t="s">
        <v>444</v>
      </c>
      <c r="F10" s="1" t="s">
        <v>64</v>
      </c>
      <c r="G10" s="1"/>
      <c r="H10" s="1" t="s">
        <v>445</v>
      </c>
      <c r="I10" s="1">
        <v>0</v>
      </c>
      <c r="J10" s="1" t="s">
        <v>446</v>
      </c>
      <c r="K10" s="1" t="s">
        <v>465</v>
      </c>
      <c r="L10" s="1">
        <v>6</v>
      </c>
      <c r="M10" s="1" t="s">
        <v>81</v>
      </c>
      <c r="N10" s="1" t="s">
        <v>466</v>
      </c>
    </row>
    <row r="11" spans="1:14">
      <c r="A11" s="3">
        <v>46302</v>
      </c>
      <c r="B11" s="5" t="s">
        <v>289</v>
      </c>
      <c r="C11" s="1" t="s">
        <v>420</v>
      </c>
      <c r="D11" s="1" t="s">
        <v>443</v>
      </c>
      <c r="E11" s="1" t="s">
        <v>424</v>
      </c>
      <c r="F11" s="1" t="s">
        <v>64</v>
      </c>
      <c r="G11" s="1"/>
      <c r="H11" s="1" t="s">
        <v>445</v>
      </c>
      <c r="I11" s="1">
        <v>0</v>
      </c>
      <c r="J11" s="1" t="s">
        <v>445</v>
      </c>
      <c r="K11" s="1" t="s">
        <v>467</v>
      </c>
      <c r="L11" s="1">
        <v>4</v>
      </c>
      <c r="M11" s="1" t="s">
        <v>81</v>
      </c>
      <c r="N11" s="1" t="s">
        <v>466</v>
      </c>
    </row>
    <row r="12" spans="1:14">
      <c r="A12" s="3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3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3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3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3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3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3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3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3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3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3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3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3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3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3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3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3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3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3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3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3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3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3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3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3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3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3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3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3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3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3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3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3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3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3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3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3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3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3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3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3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3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3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3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3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3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3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3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3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3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3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3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3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3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3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3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3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3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3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3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3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3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3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3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3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3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3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3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3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3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3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3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3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3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3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3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3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3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3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3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3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3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3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3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3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3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3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3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3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3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3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3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3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3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3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3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3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3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3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3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3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3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3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3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3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3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3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3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3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3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3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3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3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3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3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3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3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3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3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3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3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3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3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3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3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3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3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3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3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3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3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3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3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3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3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3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3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3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3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3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3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3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3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3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3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3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3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3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3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3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3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3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3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3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3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3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3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3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3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3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3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3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3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3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3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3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3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3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3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3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3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3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3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3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3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3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3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3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3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3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3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3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3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3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3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3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3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3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3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3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3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3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3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3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3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3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3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3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3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3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3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3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3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3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3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3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3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3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3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3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3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3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3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3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3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3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3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3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3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3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3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3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3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3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3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</sheetData>
  <mergeCells count="2">
    <mergeCell ref="A1:N2"/>
    <mergeCell ref="A3:N3"/>
  </mergeCells>
  <conditionalFormatting sqref="I6:I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L6:L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4">
    <dataValidation type="list" allowBlank="1" showErrorMessage="1" errorTitle="Choose from the list" error="Choose a value from the dropdown, or add a custom option on Customize Lists." sqref="D6:D255" xr:uid="{00000000-0002-0000-0700-000000000000}">
      <formula1>INDIRECT("'Customize Lists'!$C$79:$C$91")</formula1>
    </dataValidation>
    <dataValidation type="list" allowBlank="1" showErrorMessage="1" errorTitle="Choose from the list" error="Choose a value from the dropdown, or add a custom option on Customize Lists." sqref="F6:F255" xr:uid="{00000000-0002-0000-0700-000001000000}">
      <formula1>INDIRECT("'Customize Lists'!$E$31:$E$39")</formula1>
    </dataValidation>
    <dataValidation type="list" allowBlank="1" showErrorMessage="1" errorTitle="Choose from the list" error="Choose a value from the dropdown, or add a custom option on Customize Lists." sqref="I6:I255 L6:L255" xr:uid="{00000000-0002-0000-0700-000002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255" xr:uid="{00000000-0002-0000-0700-000004000000}">
      <formula1>INDIRECT("'Customize Lists'!$C$7:$C$13")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55"/>
  <sheetViews>
    <sheetView workbookViewId="0">
      <selection sqref="A1:O2"/>
    </sheetView>
  </sheetViews>
  <sheetFormatPr defaultRowHeight="14.25"/>
  <cols>
    <col min="1" max="1" width="12" customWidth="1"/>
    <col min="2" max="2" width="23" customWidth="1"/>
    <col min="3" max="3" width="20" customWidth="1"/>
    <col min="4" max="4" width="34" customWidth="1"/>
    <col min="5" max="5" width="22" customWidth="1"/>
    <col min="6" max="6" width="11" customWidth="1"/>
    <col min="7" max="7" width="28" customWidth="1"/>
    <col min="8" max="8" width="18" customWidth="1"/>
    <col min="9" max="9" width="16" customWidth="1"/>
    <col min="10" max="10" width="17" customWidth="1"/>
    <col min="11" max="11" width="18" customWidth="1"/>
    <col min="12" max="12" width="30" customWidth="1"/>
    <col min="13" max="13" width="18" customWidth="1"/>
    <col min="14" max="14" width="30" customWidth="1"/>
    <col min="15" max="15" width="44" customWidth="1"/>
  </cols>
  <sheetData>
    <row r="1" spans="1:15" ht="32.1" customHeight="1">
      <c r="A1" s="19" t="s">
        <v>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>
      <c r="A3" s="30" t="s">
        <v>468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5" spans="1:15" ht="33.950000000000003" customHeight="1">
      <c r="A5" s="12" t="s">
        <v>226</v>
      </c>
      <c r="B5" s="12" t="s">
        <v>246</v>
      </c>
      <c r="C5" s="12" t="s">
        <v>469</v>
      </c>
      <c r="D5" s="12" t="s">
        <v>470</v>
      </c>
      <c r="E5" s="12" t="s">
        <v>471</v>
      </c>
      <c r="F5" s="12" t="s">
        <v>265</v>
      </c>
      <c r="G5" s="12" t="s">
        <v>472</v>
      </c>
      <c r="H5" s="12" t="s">
        <v>473</v>
      </c>
      <c r="I5" s="12" t="s">
        <v>474</v>
      </c>
      <c r="J5" s="12" t="s">
        <v>475</v>
      </c>
      <c r="K5" s="12" t="s">
        <v>476</v>
      </c>
      <c r="L5" s="12" t="s">
        <v>477</v>
      </c>
      <c r="M5" s="12" t="s">
        <v>478</v>
      </c>
      <c r="N5" s="12" t="s">
        <v>479</v>
      </c>
      <c r="O5" s="12" t="s">
        <v>61</v>
      </c>
    </row>
    <row r="6" spans="1:15">
      <c r="A6" s="3">
        <v>46275</v>
      </c>
      <c r="B6" s="1" t="s">
        <v>248</v>
      </c>
      <c r="C6" s="1" t="s">
        <v>480</v>
      </c>
      <c r="D6" s="1" t="s">
        <v>481</v>
      </c>
      <c r="E6" s="1" t="s">
        <v>482</v>
      </c>
      <c r="F6" s="5"/>
      <c r="G6" s="1" t="s">
        <v>483</v>
      </c>
      <c r="H6" s="1" t="s">
        <v>81</v>
      </c>
      <c r="I6" s="1">
        <v>3</v>
      </c>
      <c r="J6" s="1">
        <v>3</v>
      </c>
      <c r="K6" s="1"/>
      <c r="L6" s="1" t="s">
        <v>484</v>
      </c>
      <c r="M6" s="1" t="s">
        <v>484</v>
      </c>
      <c r="N6" s="1" t="s">
        <v>485</v>
      </c>
      <c r="O6" s="1" t="s">
        <v>486</v>
      </c>
    </row>
    <row r="7" spans="1:15">
      <c r="A7" s="3">
        <v>46283</v>
      </c>
      <c r="B7" s="1" t="s">
        <v>248</v>
      </c>
      <c r="C7" s="1" t="s">
        <v>487</v>
      </c>
      <c r="D7" s="1" t="s">
        <v>488</v>
      </c>
      <c r="E7" s="1" t="s">
        <v>489</v>
      </c>
      <c r="F7" s="5" t="s">
        <v>490</v>
      </c>
      <c r="G7" s="1"/>
      <c r="H7" s="1" t="s">
        <v>81</v>
      </c>
      <c r="I7" s="1">
        <v>5</v>
      </c>
      <c r="J7" s="1">
        <v>5</v>
      </c>
      <c r="K7" s="1"/>
      <c r="L7" s="1" t="s">
        <v>484</v>
      </c>
      <c r="M7" s="1" t="s">
        <v>484</v>
      </c>
      <c r="N7" s="1" t="s">
        <v>491</v>
      </c>
      <c r="O7" s="1" t="s">
        <v>492</v>
      </c>
    </row>
    <row r="8" spans="1:15">
      <c r="A8" s="3">
        <v>46289</v>
      </c>
      <c r="B8" s="1" t="s">
        <v>248</v>
      </c>
      <c r="C8" s="1" t="s">
        <v>487</v>
      </c>
      <c r="D8" s="1" t="s">
        <v>493</v>
      </c>
      <c r="E8" s="1" t="s">
        <v>489</v>
      </c>
      <c r="F8" s="5" t="s">
        <v>494</v>
      </c>
      <c r="G8" s="1"/>
      <c r="H8" s="1" t="s">
        <v>81</v>
      </c>
      <c r="I8" s="1">
        <v>7</v>
      </c>
      <c r="J8" s="1">
        <v>7</v>
      </c>
      <c r="K8" s="1"/>
      <c r="L8" s="1" t="s">
        <v>484</v>
      </c>
      <c r="M8" s="1" t="s">
        <v>484</v>
      </c>
      <c r="N8" s="1" t="s">
        <v>491</v>
      </c>
      <c r="O8" s="1" t="s">
        <v>495</v>
      </c>
    </row>
    <row r="9" spans="1:15">
      <c r="A9" s="3">
        <v>46297</v>
      </c>
      <c r="B9" s="1" t="s">
        <v>258</v>
      </c>
      <c r="C9" s="1" t="s">
        <v>496</v>
      </c>
      <c r="D9" s="1" t="s">
        <v>497</v>
      </c>
      <c r="E9" s="1" t="s">
        <v>498</v>
      </c>
      <c r="F9" s="5" t="s">
        <v>324</v>
      </c>
      <c r="G9" s="1" t="s">
        <v>499</v>
      </c>
      <c r="H9" s="1" t="s">
        <v>64</v>
      </c>
      <c r="I9" s="1">
        <v>3</v>
      </c>
      <c r="J9" s="1">
        <v>3</v>
      </c>
      <c r="K9" s="1" t="s">
        <v>500</v>
      </c>
      <c r="L9" s="1" t="s">
        <v>501</v>
      </c>
      <c r="M9" s="1" t="s">
        <v>502</v>
      </c>
      <c r="N9" s="1" t="s">
        <v>503</v>
      </c>
      <c r="O9" s="1" t="s">
        <v>504</v>
      </c>
    </row>
    <row r="10" spans="1:15">
      <c r="A10" s="3">
        <v>46298</v>
      </c>
      <c r="B10" s="1" t="s">
        <v>258</v>
      </c>
      <c r="C10" s="1" t="s">
        <v>496</v>
      </c>
      <c r="D10" s="1" t="s">
        <v>505</v>
      </c>
      <c r="E10" s="1" t="s">
        <v>498</v>
      </c>
      <c r="F10" s="5" t="s">
        <v>324</v>
      </c>
      <c r="G10" s="1" t="s">
        <v>506</v>
      </c>
      <c r="H10" s="1" t="s">
        <v>64</v>
      </c>
      <c r="I10" s="1">
        <v>3</v>
      </c>
      <c r="J10" s="1">
        <v>4</v>
      </c>
      <c r="K10" s="1" t="s">
        <v>507</v>
      </c>
      <c r="L10" s="1" t="s">
        <v>508</v>
      </c>
      <c r="M10" s="1" t="s">
        <v>509</v>
      </c>
      <c r="N10" s="1" t="s">
        <v>510</v>
      </c>
      <c r="O10" s="1" t="s">
        <v>511</v>
      </c>
    </row>
    <row r="11" spans="1:15" ht="28.5">
      <c r="A11" s="3">
        <v>46299</v>
      </c>
      <c r="B11" s="1" t="s">
        <v>258</v>
      </c>
      <c r="C11" s="1" t="s">
        <v>512</v>
      </c>
      <c r="D11" s="1" t="s">
        <v>513</v>
      </c>
      <c r="E11" s="1" t="s">
        <v>498</v>
      </c>
      <c r="F11" s="5"/>
      <c r="G11" s="1" t="s">
        <v>514</v>
      </c>
      <c r="H11" s="1" t="s">
        <v>81</v>
      </c>
      <c r="I11" s="1">
        <v>4</v>
      </c>
      <c r="J11" s="1">
        <v>3</v>
      </c>
      <c r="K11" s="1" t="s">
        <v>500</v>
      </c>
      <c r="L11" s="1" t="s">
        <v>349</v>
      </c>
      <c r="M11" s="1" t="s">
        <v>515</v>
      </c>
      <c r="N11" s="1" t="s">
        <v>516</v>
      </c>
      <c r="O11" s="1" t="s">
        <v>517</v>
      </c>
    </row>
    <row r="12" spans="1:15" ht="28.5">
      <c r="A12" s="3">
        <v>46301</v>
      </c>
      <c r="B12" s="1" t="s">
        <v>263</v>
      </c>
      <c r="C12" s="1" t="s">
        <v>480</v>
      </c>
      <c r="D12" s="1" t="s">
        <v>518</v>
      </c>
      <c r="E12" s="1" t="s">
        <v>482</v>
      </c>
      <c r="F12" s="5"/>
      <c r="G12" s="1" t="s">
        <v>519</v>
      </c>
      <c r="H12" s="1" t="s">
        <v>81</v>
      </c>
      <c r="I12" s="1">
        <v>3</v>
      </c>
      <c r="J12" s="1">
        <v>3</v>
      </c>
      <c r="K12" s="1"/>
      <c r="L12" s="1" t="s">
        <v>484</v>
      </c>
      <c r="M12" s="1" t="s">
        <v>484</v>
      </c>
      <c r="N12" s="1" t="s">
        <v>520</v>
      </c>
      <c r="O12" s="1" t="s">
        <v>521</v>
      </c>
    </row>
    <row r="13" spans="1:15">
      <c r="A13" s="3"/>
      <c r="B13" s="1"/>
      <c r="C13" s="1"/>
      <c r="D13" s="1"/>
      <c r="E13" s="1"/>
      <c r="F13" s="5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3"/>
      <c r="B14" s="1"/>
      <c r="C14" s="1"/>
      <c r="D14" s="1"/>
      <c r="E14" s="1"/>
      <c r="F14" s="5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3"/>
      <c r="B15" s="1"/>
      <c r="C15" s="1"/>
      <c r="D15" s="1"/>
      <c r="E15" s="1"/>
      <c r="F15" s="5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3"/>
      <c r="B16" s="1"/>
      <c r="C16" s="1"/>
      <c r="D16" s="1"/>
      <c r="E16" s="1"/>
      <c r="F16" s="5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3"/>
      <c r="B17" s="1"/>
      <c r="C17" s="1"/>
      <c r="D17" s="1"/>
      <c r="E17" s="1"/>
      <c r="F17" s="5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3"/>
      <c r="B18" s="1"/>
      <c r="C18" s="1"/>
      <c r="D18" s="1"/>
      <c r="E18" s="1"/>
      <c r="F18" s="5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3"/>
      <c r="B19" s="1"/>
      <c r="C19" s="1"/>
      <c r="D19" s="1"/>
      <c r="E19" s="1"/>
      <c r="F19" s="5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3"/>
      <c r="B20" s="1"/>
      <c r="C20" s="1"/>
      <c r="D20" s="1"/>
      <c r="E20" s="1"/>
      <c r="F20" s="5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3"/>
      <c r="B21" s="1"/>
      <c r="C21" s="1"/>
      <c r="D21" s="1"/>
      <c r="E21" s="1"/>
      <c r="F21" s="5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3"/>
      <c r="B22" s="1"/>
      <c r="C22" s="1"/>
      <c r="D22" s="1"/>
      <c r="E22" s="1"/>
      <c r="F22" s="5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3"/>
      <c r="B23" s="1"/>
      <c r="C23" s="1"/>
      <c r="D23" s="1"/>
      <c r="E23" s="1"/>
      <c r="F23" s="5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3"/>
      <c r="B24" s="1"/>
      <c r="C24" s="1"/>
      <c r="D24" s="1"/>
      <c r="E24" s="1"/>
      <c r="F24" s="5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3"/>
      <c r="B25" s="1"/>
      <c r="C25" s="1"/>
      <c r="D25" s="1"/>
      <c r="E25" s="1"/>
      <c r="F25" s="5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3"/>
      <c r="B26" s="1"/>
      <c r="C26" s="1"/>
      <c r="D26" s="1"/>
      <c r="E26" s="1"/>
      <c r="F26" s="5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3"/>
      <c r="B27" s="1"/>
      <c r="C27" s="1"/>
      <c r="D27" s="1"/>
      <c r="E27" s="1"/>
      <c r="F27" s="5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3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3"/>
      <c r="B29" s="1"/>
      <c r="C29" s="1"/>
      <c r="D29" s="1"/>
      <c r="E29" s="1"/>
      <c r="F29" s="5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3"/>
      <c r="B30" s="1"/>
      <c r="C30" s="1"/>
      <c r="D30" s="1"/>
      <c r="E30" s="1"/>
      <c r="F30" s="5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3"/>
      <c r="B31" s="1"/>
      <c r="C31" s="1"/>
      <c r="D31" s="1"/>
      <c r="E31" s="1"/>
      <c r="F31" s="5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3"/>
      <c r="B32" s="1"/>
      <c r="C32" s="1"/>
      <c r="D32" s="1"/>
      <c r="E32" s="1"/>
      <c r="F32" s="5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3"/>
      <c r="B33" s="1"/>
      <c r="C33" s="1"/>
      <c r="D33" s="1"/>
      <c r="E33" s="1"/>
      <c r="F33" s="5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3"/>
      <c r="B34" s="1"/>
      <c r="C34" s="1"/>
      <c r="D34" s="1"/>
      <c r="E34" s="1"/>
      <c r="F34" s="5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3"/>
      <c r="B35" s="1"/>
      <c r="C35" s="1"/>
      <c r="D35" s="1"/>
      <c r="E35" s="1"/>
      <c r="F35" s="5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3"/>
      <c r="B36" s="1"/>
      <c r="C36" s="1"/>
      <c r="D36" s="1"/>
      <c r="E36" s="1"/>
      <c r="F36" s="5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3"/>
      <c r="B37" s="1"/>
      <c r="C37" s="1"/>
      <c r="D37" s="1"/>
      <c r="E37" s="1"/>
      <c r="F37" s="5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3"/>
      <c r="B38" s="1"/>
      <c r="C38" s="1"/>
      <c r="D38" s="1"/>
      <c r="E38" s="1"/>
      <c r="F38" s="5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3"/>
      <c r="B39" s="1"/>
      <c r="C39" s="1"/>
      <c r="D39" s="1"/>
      <c r="E39" s="1"/>
      <c r="F39" s="5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3"/>
      <c r="B40" s="1"/>
      <c r="C40" s="1"/>
      <c r="D40" s="1"/>
      <c r="E40" s="1"/>
      <c r="F40" s="5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3"/>
      <c r="B41" s="1"/>
      <c r="C41" s="1"/>
      <c r="D41" s="1"/>
      <c r="E41" s="1"/>
      <c r="F41" s="5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3"/>
      <c r="B42" s="1"/>
      <c r="C42" s="1"/>
      <c r="D42" s="1"/>
      <c r="E42" s="1"/>
      <c r="F42" s="5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3"/>
      <c r="B43" s="1"/>
      <c r="C43" s="1"/>
      <c r="D43" s="1"/>
      <c r="E43" s="1"/>
      <c r="F43" s="5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3"/>
      <c r="B44" s="1"/>
      <c r="C44" s="1"/>
      <c r="D44" s="1"/>
      <c r="E44" s="1"/>
      <c r="F44" s="5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3"/>
      <c r="B45" s="1"/>
      <c r="C45" s="1"/>
      <c r="D45" s="1"/>
      <c r="E45" s="1"/>
      <c r="F45" s="5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3"/>
      <c r="B46" s="1"/>
      <c r="C46" s="1"/>
      <c r="D46" s="1"/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3"/>
      <c r="B47" s="1"/>
      <c r="C47" s="1"/>
      <c r="D47" s="1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3"/>
      <c r="B48" s="1"/>
      <c r="C48" s="1"/>
      <c r="D48" s="1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3"/>
      <c r="B49" s="1"/>
      <c r="C49" s="1"/>
      <c r="D49" s="1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3"/>
      <c r="B50" s="1"/>
      <c r="C50" s="1"/>
      <c r="D50" s="1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3"/>
      <c r="B51" s="1"/>
      <c r="C51" s="1"/>
      <c r="D51" s="1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3"/>
      <c r="B52" s="1"/>
      <c r="C52" s="1"/>
      <c r="D52" s="1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3"/>
      <c r="B53" s="1"/>
      <c r="C53" s="1"/>
      <c r="D53" s="1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3"/>
      <c r="B54" s="1"/>
      <c r="C54" s="1"/>
      <c r="D54" s="1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3"/>
      <c r="B55" s="1"/>
      <c r="C55" s="1"/>
      <c r="D55" s="1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3"/>
      <c r="B56" s="1"/>
      <c r="C56" s="1"/>
      <c r="D56" s="1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3"/>
      <c r="B57" s="1"/>
      <c r="C57" s="1"/>
      <c r="D57" s="1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3"/>
      <c r="B58" s="1"/>
      <c r="C58" s="1"/>
      <c r="D58" s="1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3"/>
      <c r="B59" s="1"/>
      <c r="C59" s="1"/>
      <c r="D59" s="1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3"/>
      <c r="B60" s="1"/>
      <c r="C60" s="1"/>
      <c r="D60" s="1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3"/>
      <c r="B61" s="1"/>
      <c r="C61" s="1"/>
      <c r="D61" s="1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3"/>
      <c r="B62" s="1"/>
      <c r="C62" s="1"/>
      <c r="D62" s="1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3"/>
      <c r="B63" s="1"/>
      <c r="C63" s="1"/>
      <c r="D63" s="1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3"/>
      <c r="B64" s="1"/>
      <c r="C64" s="1"/>
      <c r="D64" s="1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3"/>
      <c r="B65" s="1"/>
      <c r="C65" s="1"/>
      <c r="D65" s="1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3"/>
      <c r="B66" s="1"/>
      <c r="C66" s="1"/>
      <c r="D66" s="1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3"/>
      <c r="B67" s="1"/>
      <c r="C67" s="1"/>
      <c r="D67" s="1"/>
      <c r="E67" s="1"/>
      <c r="F67" s="5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3"/>
      <c r="B68" s="1"/>
      <c r="C68" s="1"/>
      <c r="D68" s="1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3"/>
      <c r="B69" s="1"/>
      <c r="C69" s="1"/>
      <c r="D69" s="1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3"/>
      <c r="B70" s="1"/>
      <c r="C70" s="1"/>
      <c r="D70" s="1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3"/>
      <c r="B71" s="1"/>
      <c r="C71" s="1"/>
      <c r="D71" s="1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3"/>
      <c r="B72" s="1"/>
      <c r="C72" s="1"/>
      <c r="D72" s="1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3"/>
      <c r="B73" s="1"/>
      <c r="C73" s="1"/>
      <c r="D73" s="1"/>
      <c r="E73" s="1"/>
      <c r="F73" s="5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3"/>
      <c r="B74" s="1"/>
      <c r="C74" s="1"/>
      <c r="D74" s="1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3"/>
      <c r="B75" s="1"/>
      <c r="C75" s="1"/>
      <c r="D75" s="1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3"/>
      <c r="B76" s="1"/>
      <c r="C76" s="1"/>
      <c r="D76" s="1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3"/>
      <c r="B77" s="1"/>
      <c r="C77" s="1"/>
      <c r="D77" s="1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3"/>
      <c r="B78" s="1"/>
      <c r="C78" s="1"/>
      <c r="D78" s="1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3"/>
      <c r="B79" s="1"/>
      <c r="C79" s="1"/>
      <c r="D79" s="1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3"/>
      <c r="B80" s="1"/>
      <c r="C80" s="1"/>
      <c r="D80" s="1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3"/>
      <c r="B81" s="1"/>
      <c r="C81" s="1"/>
      <c r="D81" s="1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3"/>
      <c r="B82" s="1"/>
      <c r="C82" s="1"/>
      <c r="D82" s="1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3"/>
      <c r="B83" s="1"/>
      <c r="C83" s="1"/>
      <c r="D83" s="1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3"/>
      <c r="B84" s="1"/>
      <c r="C84" s="1"/>
      <c r="D84" s="1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3"/>
      <c r="B85" s="1"/>
      <c r="C85" s="1"/>
      <c r="D85" s="1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3"/>
      <c r="B86" s="1"/>
      <c r="C86" s="1"/>
      <c r="D86" s="1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3"/>
      <c r="B87" s="1"/>
      <c r="C87" s="1"/>
      <c r="D87" s="1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3"/>
      <c r="B88" s="1"/>
      <c r="C88" s="1"/>
      <c r="D88" s="1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3"/>
      <c r="B89" s="1"/>
      <c r="C89" s="1"/>
      <c r="D89" s="1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3"/>
      <c r="B90" s="1"/>
      <c r="C90" s="1"/>
      <c r="D90" s="1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3"/>
      <c r="B91" s="1"/>
      <c r="C91" s="1"/>
      <c r="D91" s="1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3"/>
      <c r="B92" s="1"/>
      <c r="C92" s="1"/>
      <c r="D92" s="1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3"/>
      <c r="B93" s="1"/>
      <c r="C93" s="1"/>
      <c r="D93" s="1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3"/>
      <c r="B94" s="1"/>
      <c r="C94" s="1"/>
      <c r="D94" s="1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3"/>
      <c r="B95" s="1"/>
      <c r="C95" s="1"/>
      <c r="D95" s="1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3"/>
      <c r="B96" s="1"/>
      <c r="C96" s="1"/>
      <c r="D96" s="1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3"/>
      <c r="B97" s="1"/>
      <c r="C97" s="1"/>
      <c r="D97" s="1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3"/>
      <c r="B98" s="1"/>
      <c r="C98" s="1"/>
      <c r="D98" s="1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3"/>
      <c r="B99" s="1"/>
      <c r="C99" s="1"/>
      <c r="D99" s="1"/>
      <c r="E99" s="1"/>
      <c r="F99" s="5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3"/>
      <c r="B100" s="1"/>
      <c r="C100" s="1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3"/>
      <c r="B101" s="1"/>
      <c r="C101" s="1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3"/>
      <c r="B102" s="1"/>
      <c r="C102" s="1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3"/>
      <c r="B103" s="1"/>
      <c r="C103" s="1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3"/>
      <c r="B104" s="1"/>
      <c r="C104" s="1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3"/>
      <c r="B105" s="1"/>
      <c r="C105" s="1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3"/>
      <c r="B106" s="1"/>
      <c r="C106" s="1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3"/>
      <c r="B107" s="1"/>
      <c r="C107" s="1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3"/>
      <c r="B108" s="1"/>
      <c r="C108" s="1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3"/>
      <c r="B109" s="1"/>
      <c r="C109" s="1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3"/>
      <c r="B110" s="1"/>
      <c r="C110" s="1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3"/>
      <c r="B111" s="1"/>
      <c r="C111" s="1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3"/>
      <c r="B112" s="1"/>
      <c r="C112" s="1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3"/>
      <c r="B113" s="1"/>
      <c r="C113" s="1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3"/>
      <c r="B114" s="1"/>
      <c r="C114" s="1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3"/>
      <c r="B115" s="1"/>
      <c r="C115" s="1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3"/>
      <c r="B116" s="1"/>
      <c r="C116" s="1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3"/>
      <c r="B117" s="1"/>
      <c r="C117" s="1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3"/>
      <c r="B118" s="1"/>
      <c r="C118" s="1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3"/>
      <c r="B119" s="1"/>
      <c r="C119" s="1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3"/>
      <c r="B120" s="1"/>
      <c r="C120" s="1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3"/>
      <c r="B121" s="1"/>
      <c r="C121" s="1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3"/>
      <c r="B122" s="1"/>
      <c r="C122" s="1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3"/>
      <c r="B123" s="1"/>
      <c r="C123" s="1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3"/>
      <c r="B124" s="1"/>
      <c r="C124" s="1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3"/>
      <c r="B125" s="1"/>
      <c r="C125" s="1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3"/>
      <c r="B126" s="1"/>
      <c r="C126" s="1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3"/>
      <c r="B127" s="1"/>
      <c r="C127" s="1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3"/>
      <c r="B128" s="1"/>
      <c r="C128" s="1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3"/>
      <c r="B129" s="1"/>
      <c r="C129" s="1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3"/>
      <c r="B130" s="1"/>
      <c r="C130" s="1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3"/>
      <c r="B131" s="1"/>
      <c r="C131" s="1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3"/>
      <c r="B132" s="1"/>
      <c r="C132" s="1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3"/>
      <c r="B133" s="1"/>
      <c r="C133" s="1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3"/>
      <c r="B134" s="1"/>
      <c r="C134" s="1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3"/>
      <c r="B135" s="1"/>
      <c r="C135" s="1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3"/>
      <c r="B136" s="1"/>
      <c r="C136" s="1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3"/>
      <c r="B137" s="1"/>
      <c r="C137" s="1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3"/>
      <c r="B138" s="1"/>
      <c r="C138" s="1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3"/>
      <c r="B139" s="1"/>
      <c r="C139" s="1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3"/>
      <c r="B140" s="1"/>
      <c r="C140" s="1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3"/>
      <c r="B141" s="1"/>
      <c r="C141" s="1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3"/>
      <c r="B142" s="1"/>
      <c r="C142" s="1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3"/>
      <c r="B143" s="1"/>
      <c r="C143" s="1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3"/>
      <c r="B144" s="1"/>
      <c r="C144" s="1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3"/>
      <c r="B145" s="1"/>
      <c r="C145" s="1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3"/>
      <c r="B146" s="1"/>
      <c r="C146" s="1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3"/>
      <c r="B147" s="1"/>
      <c r="C147" s="1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3"/>
      <c r="B148" s="1"/>
      <c r="C148" s="1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3"/>
      <c r="B149" s="1"/>
      <c r="C149" s="1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3"/>
      <c r="B150" s="1"/>
      <c r="C150" s="1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3"/>
      <c r="B151" s="1"/>
      <c r="C151" s="1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3"/>
      <c r="B152" s="1"/>
      <c r="C152" s="1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3"/>
      <c r="B153" s="1"/>
      <c r="C153" s="1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3"/>
      <c r="B154" s="1"/>
      <c r="C154" s="1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3"/>
      <c r="B155" s="1"/>
      <c r="C155" s="1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3"/>
      <c r="B156" s="1"/>
      <c r="C156" s="1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3"/>
      <c r="B157" s="1"/>
      <c r="C157" s="1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3"/>
      <c r="B158" s="1"/>
      <c r="C158" s="1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3"/>
      <c r="B159" s="1"/>
      <c r="C159" s="1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3"/>
      <c r="B160" s="1"/>
      <c r="C160" s="1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3"/>
      <c r="B161" s="1"/>
      <c r="C161" s="1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3"/>
      <c r="B162" s="1"/>
      <c r="C162" s="1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3"/>
      <c r="B163" s="1"/>
      <c r="C163" s="1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3"/>
      <c r="B164" s="1"/>
      <c r="C164" s="1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3"/>
      <c r="B165" s="1"/>
      <c r="C165" s="1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3"/>
      <c r="B166" s="1"/>
      <c r="C166" s="1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3"/>
      <c r="B167" s="1"/>
      <c r="C167" s="1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3"/>
      <c r="B168" s="1"/>
      <c r="C168" s="1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3"/>
      <c r="B169" s="1"/>
      <c r="C169" s="1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3"/>
      <c r="B170" s="1"/>
      <c r="C170" s="1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3"/>
      <c r="B171" s="1"/>
      <c r="C171" s="1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3"/>
      <c r="B172" s="1"/>
      <c r="C172" s="1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3"/>
      <c r="B173" s="1"/>
      <c r="C173" s="1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3"/>
      <c r="B174" s="1"/>
      <c r="C174" s="1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3"/>
      <c r="B175" s="1"/>
      <c r="C175" s="1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3"/>
      <c r="B176" s="1"/>
      <c r="C176" s="1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3"/>
      <c r="B177" s="1"/>
      <c r="C177" s="1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3"/>
      <c r="B178" s="1"/>
      <c r="C178" s="1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3"/>
      <c r="B179" s="1"/>
      <c r="C179" s="1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3"/>
      <c r="B180" s="1"/>
      <c r="C180" s="1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3"/>
      <c r="B181" s="1"/>
      <c r="C181" s="1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3"/>
      <c r="B182" s="1"/>
      <c r="C182" s="1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3"/>
      <c r="B183" s="1"/>
      <c r="C183" s="1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3"/>
      <c r="B184" s="1"/>
      <c r="C184" s="1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3"/>
      <c r="B185" s="1"/>
      <c r="C185" s="1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3"/>
      <c r="B186" s="1"/>
      <c r="C186" s="1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3"/>
      <c r="B187" s="1"/>
      <c r="C187" s="1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3"/>
      <c r="B188" s="1"/>
      <c r="C188" s="1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3"/>
      <c r="B189" s="1"/>
      <c r="C189" s="1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3"/>
      <c r="B190" s="1"/>
      <c r="C190" s="1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3"/>
      <c r="B191" s="1"/>
      <c r="C191" s="1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3"/>
      <c r="B192" s="1"/>
      <c r="C192" s="1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3"/>
      <c r="B193" s="1"/>
      <c r="C193" s="1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3"/>
      <c r="B194" s="1"/>
      <c r="C194" s="1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3"/>
      <c r="B195" s="1"/>
      <c r="C195" s="1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3"/>
      <c r="B196" s="1"/>
      <c r="C196" s="1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3"/>
      <c r="B197" s="1"/>
      <c r="C197" s="1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3"/>
      <c r="B198" s="1"/>
      <c r="C198" s="1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3"/>
      <c r="B199" s="1"/>
      <c r="C199" s="1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3"/>
      <c r="B200" s="1"/>
      <c r="C200" s="1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3"/>
      <c r="B201" s="1"/>
      <c r="C201" s="1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3"/>
      <c r="B202" s="1"/>
      <c r="C202" s="1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3"/>
      <c r="B203" s="1"/>
      <c r="C203" s="1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3"/>
      <c r="B204" s="1"/>
      <c r="C204" s="1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3"/>
      <c r="B205" s="1"/>
      <c r="C205" s="1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3"/>
      <c r="B206" s="1"/>
      <c r="C206" s="1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3"/>
      <c r="B207" s="1"/>
      <c r="C207" s="1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3"/>
      <c r="B208" s="1"/>
      <c r="C208" s="1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3"/>
      <c r="B209" s="1"/>
      <c r="C209" s="1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3"/>
      <c r="B210" s="1"/>
      <c r="C210" s="1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3"/>
      <c r="B211" s="1"/>
      <c r="C211" s="1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3"/>
      <c r="B212" s="1"/>
      <c r="C212" s="1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3"/>
      <c r="B213" s="1"/>
      <c r="C213" s="1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3"/>
      <c r="B214" s="1"/>
      <c r="C214" s="1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3"/>
      <c r="B215" s="1"/>
      <c r="C215" s="1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3"/>
      <c r="B216" s="1"/>
      <c r="C216" s="1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3"/>
      <c r="B217" s="1"/>
      <c r="C217" s="1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3"/>
      <c r="B218" s="1"/>
      <c r="C218" s="1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3"/>
      <c r="B219" s="1"/>
      <c r="C219" s="1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3"/>
      <c r="B220" s="1"/>
      <c r="C220" s="1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3"/>
      <c r="B221" s="1"/>
      <c r="C221" s="1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3"/>
      <c r="B222" s="1"/>
      <c r="C222" s="1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3"/>
      <c r="B223" s="1"/>
      <c r="C223" s="1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3"/>
      <c r="B224" s="1"/>
      <c r="C224" s="1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3"/>
      <c r="B225" s="1"/>
      <c r="C225" s="1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3"/>
      <c r="B226" s="1"/>
      <c r="C226" s="1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3"/>
      <c r="B227" s="1"/>
      <c r="C227" s="1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3"/>
      <c r="B228" s="1"/>
      <c r="C228" s="1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3"/>
      <c r="B229" s="1"/>
      <c r="C229" s="1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3"/>
      <c r="B230" s="1"/>
      <c r="C230" s="1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3"/>
      <c r="B231" s="1"/>
      <c r="C231" s="1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3"/>
      <c r="B232" s="1"/>
      <c r="C232" s="1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3"/>
      <c r="B233" s="1"/>
      <c r="C233" s="1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3"/>
      <c r="B234" s="1"/>
      <c r="C234" s="1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3"/>
      <c r="B235" s="1"/>
      <c r="C235" s="1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3"/>
      <c r="B236" s="1"/>
      <c r="C236" s="1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3"/>
      <c r="B237" s="1"/>
      <c r="C237" s="1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3"/>
      <c r="B238" s="1"/>
      <c r="C238" s="1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3"/>
      <c r="B239" s="1"/>
      <c r="C239" s="1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3"/>
      <c r="B240" s="1"/>
      <c r="C240" s="1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3"/>
      <c r="B241" s="1"/>
      <c r="C241" s="1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3"/>
      <c r="B242" s="1"/>
      <c r="C242" s="1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3"/>
      <c r="B243" s="1"/>
      <c r="C243" s="1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3"/>
      <c r="B244" s="1"/>
      <c r="C244" s="1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3"/>
      <c r="B245" s="1"/>
      <c r="C245" s="1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3"/>
      <c r="B246" s="1"/>
      <c r="C246" s="1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3"/>
      <c r="B247" s="1"/>
      <c r="C247" s="1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3"/>
      <c r="B248" s="1"/>
      <c r="C248" s="1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3"/>
      <c r="B249" s="1"/>
      <c r="C249" s="1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3"/>
      <c r="B250" s="1"/>
      <c r="C250" s="1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3"/>
      <c r="B251" s="1"/>
      <c r="C251" s="1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3"/>
      <c r="B252" s="1"/>
      <c r="C252" s="1"/>
      <c r="D252" s="1"/>
      <c r="E252" s="1"/>
      <c r="F252" s="5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3"/>
      <c r="B253" s="1"/>
      <c r="C253" s="1"/>
      <c r="D253" s="1"/>
      <c r="E253" s="1"/>
      <c r="F253" s="5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3"/>
      <c r="B254" s="1"/>
      <c r="C254" s="1"/>
      <c r="D254" s="1"/>
      <c r="E254" s="1"/>
      <c r="F254" s="5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3"/>
      <c r="B255" s="1"/>
      <c r="C255" s="1"/>
      <c r="D255" s="1"/>
      <c r="E255" s="1"/>
      <c r="F255" s="5"/>
      <c r="G255" s="1"/>
      <c r="H255" s="1"/>
      <c r="I255" s="1"/>
      <c r="J255" s="1"/>
      <c r="K255" s="1"/>
      <c r="L255" s="1"/>
      <c r="M255" s="1"/>
      <c r="N255" s="1"/>
      <c r="O255" s="1"/>
    </row>
  </sheetData>
  <mergeCells count="2">
    <mergeCell ref="A1:O2"/>
    <mergeCell ref="A3:O3"/>
  </mergeCells>
  <conditionalFormatting sqref="I6:I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J6:J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5">
    <dataValidation type="list" allowBlank="1" showErrorMessage="1" errorTitle="Choose from the list" error="Choose a value from the dropdown, or add a custom option on Customize Lists." sqref="B6:B255" xr:uid="{00000000-0002-0000-0800-000000000000}">
      <formula1>INDIRECT("'Customize Lists'!$G$31:$G$41")</formula1>
    </dataValidation>
    <dataValidation type="list" allowBlank="1" showErrorMessage="1" errorTitle="Choose from the list" error="Choose a value from the dropdown, or add a custom option on Customize Lists." sqref="C6:C255" xr:uid="{00000000-0002-0000-0800-000001000000}">
      <formula1>INDIRECT("'Customize Lists'!$E$79:$E$89")</formula1>
    </dataValidation>
    <dataValidation type="list" allowBlank="1" showErrorMessage="1" errorTitle="Choose from the list" error="Choose a value from the dropdown, or add a custom option on Customize Lists." sqref="H6:H255" xr:uid="{00000000-0002-0000-0800-000002000000}">
      <formula1>INDIRECT("'Customize Lists'!$G$79:$G$86")</formula1>
    </dataValidation>
    <dataValidation type="list" allowBlank="1" showErrorMessage="1" errorTitle="Choose from the list" error="Choose a value from the dropdown, or add a custom option on Customize Lists." sqref="I6:J255" xr:uid="{00000000-0002-0000-0800-000003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M6:M255" xr:uid="{00000000-0002-0000-0800-000005000000}">
      <formula1>INDIRECT("'Customize Lists'!$A$103:$A$112")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5"/>
  <sheetViews>
    <sheetView workbookViewId="0">
      <selection sqref="A1:J2"/>
    </sheetView>
  </sheetViews>
  <sheetFormatPr defaultRowHeight="14.25"/>
  <cols>
    <col min="1" max="1" width="12" customWidth="1"/>
    <col min="2" max="2" width="30" customWidth="1"/>
    <col min="3" max="3" width="20" customWidth="1"/>
    <col min="4" max="4" width="17" customWidth="1"/>
    <col min="5" max="5" width="22" customWidth="1"/>
    <col min="6" max="6" width="34" customWidth="1"/>
    <col min="7" max="7" width="16" customWidth="1"/>
    <col min="8" max="8" width="18" customWidth="1"/>
    <col min="9" max="9" width="24" customWidth="1"/>
    <col min="10" max="10" width="44" customWidth="1"/>
  </cols>
  <sheetData>
    <row r="1" spans="1:10" ht="32.1" customHeight="1">
      <c r="A1" s="19" t="s">
        <v>522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>
      <c r="A3" s="30" t="s">
        <v>523</v>
      </c>
      <c r="B3" s="31"/>
      <c r="C3" s="31"/>
      <c r="D3" s="31"/>
      <c r="E3" s="31"/>
      <c r="F3" s="31"/>
      <c r="G3" s="31"/>
      <c r="H3" s="31"/>
      <c r="I3" s="31"/>
      <c r="J3" s="31"/>
    </row>
    <row r="5" spans="1:10" ht="33.950000000000003" customHeight="1">
      <c r="A5" s="12" t="s">
        <v>226</v>
      </c>
      <c r="B5" s="12" t="s">
        <v>524</v>
      </c>
      <c r="C5" s="12" t="s">
        <v>113</v>
      </c>
      <c r="D5" s="12" t="s">
        <v>525</v>
      </c>
      <c r="E5" s="12" t="s">
        <v>526</v>
      </c>
      <c r="F5" s="12" t="s">
        <v>527</v>
      </c>
      <c r="G5" s="12" t="s">
        <v>528</v>
      </c>
      <c r="H5" s="12" t="s">
        <v>529</v>
      </c>
      <c r="I5" s="12" t="s">
        <v>530</v>
      </c>
      <c r="J5" s="12" t="s">
        <v>61</v>
      </c>
    </row>
    <row r="6" spans="1:10">
      <c r="A6" s="3">
        <v>46281</v>
      </c>
      <c r="B6" s="1" t="s">
        <v>531</v>
      </c>
      <c r="C6" s="1" t="s">
        <v>207</v>
      </c>
      <c r="D6" s="1">
        <v>6</v>
      </c>
      <c r="E6" s="1" t="s">
        <v>532</v>
      </c>
      <c r="F6" s="1" t="s">
        <v>533</v>
      </c>
      <c r="G6" s="1">
        <v>4</v>
      </c>
      <c r="H6" s="1" t="s">
        <v>534</v>
      </c>
      <c r="I6" s="1" t="s">
        <v>535</v>
      </c>
      <c r="J6" s="1" t="s">
        <v>536</v>
      </c>
    </row>
    <row r="7" spans="1:10">
      <c r="A7" s="3">
        <v>46282</v>
      </c>
      <c r="B7" s="1" t="s">
        <v>537</v>
      </c>
      <c r="C7" s="1" t="s">
        <v>538</v>
      </c>
      <c r="D7" s="1">
        <v>7</v>
      </c>
      <c r="E7" s="1" t="s">
        <v>300</v>
      </c>
      <c r="F7" s="1" t="s">
        <v>539</v>
      </c>
      <c r="G7" s="1">
        <v>4</v>
      </c>
      <c r="H7" s="1" t="s">
        <v>540</v>
      </c>
      <c r="I7" s="1" t="s">
        <v>535</v>
      </c>
      <c r="J7" s="1" t="s">
        <v>541</v>
      </c>
    </row>
    <row r="8" spans="1:10">
      <c r="A8" s="3">
        <v>46283</v>
      </c>
      <c r="B8" s="1" t="s">
        <v>542</v>
      </c>
      <c r="C8" s="1" t="s">
        <v>285</v>
      </c>
      <c r="D8" s="1">
        <v>8</v>
      </c>
      <c r="E8" s="1" t="s">
        <v>543</v>
      </c>
      <c r="F8" s="1" t="s">
        <v>544</v>
      </c>
      <c r="G8" s="1">
        <v>7</v>
      </c>
      <c r="H8" s="1" t="s">
        <v>545</v>
      </c>
      <c r="I8" s="1" t="s">
        <v>535</v>
      </c>
      <c r="J8" s="1" t="s">
        <v>546</v>
      </c>
    </row>
    <row r="9" spans="1:10">
      <c r="A9" s="3">
        <v>46285</v>
      </c>
      <c r="B9" s="1" t="s">
        <v>547</v>
      </c>
      <c r="C9" s="1" t="s">
        <v>548</v>
      </c>
      <c r="D9" s="1">
        <v>8</v>
      </c>
      <c r="E9" s="1" t="s">
        <v>300</v>
      </c>
      <c r="F9" s="1" t="s">
        <v>549</v>
      </c>
      <c r="G9" s="1">
        <v>5</v>
      </c>
      <c r="H9" s="1" t="s">
        <v>540</v>
      </c>
      <c r="I9" s="1" t="s">
        <v>550</v>
      </c>
      <c r="J9" s="1" t="s">
        <v>551</v>
      </c>
    </row>
    <row r="10" spans="1:10">
      <c r="A10" s="3">
        <v>46287</v>
      </c>
      <c r="B10" s="1" t="s">
        <v>552</v>
      </c>
      <c r="C10" s="1" t="s">
        <v>207</v>
      </c>
      <c r="D10" s="1">
        <v>8</v>
      </c>
      <c r="E10" s="1" t="s">
        <v>553</v>
      </c>
      <c r="F10" s="1" t="s">
        <v>554</v>
      </c>
      <c r="G10" s="1">
        <v>6</v>
      </c>
      <c r="H10" s="1" t="s">
        <v>540</v>
      </c>
      <c r="I10" s="1" t="s">
        <v>535</v>
      </c>
      <c r="J10" s="1" t="s">
        <v>555</v>
      </c>
    </row>
    <row r="11" spans="1:10">
      <c r="A11" s="3">
        <v>46291</v>
      </c>
      <c r="B11" s="1" t="s">
        <v>556</v>
      </c>
      <c r="C11" s="1" t="s">
        <v>557</v>
      </c>
      <c r="D11" s="1">
        <v>3</v>
      </c>
      <c r="E11" s="1" t="s">
        <v>558</v>
      </c>
      <c r="F11" s="1" t="s">
        <v>559</v>
      </c>
      <c r="G11" s="1">
        <v>2</v>
      </c>
      <c r="H11" s="1" t="s">
        <v>540</v>
      </c>
      <c r="I11" s="1" t="s">
        <v>550</v>
      </c>
      <c r="J11" s="1" t="s">
        <v>560</v>
      </c>
    </row>
    <row r="12" spans="1:10">
      <c r="A12" s="3">
        <v>46296</v>
      </c>
      <c r="B12" s="1" t="s">
        <v>561</v>
      </c>
      <c r="C12" s="1" t="s">
        <v>207</v>
      </c>
      <c r="D12" s="1">
        <v>8</v>
      </c>
      <c r="E12" s="1" t="s">
        <v>562</v>
      </c>
      <c r="F12" s="1" t="s">
        <v>563</v>
      </c>
      <c r="G12" s="1">
        <v>3</v>
      </c>
      <c r="H12" s="1" t="s">
        <v>534</v>
      </c>
      <c r="I12" s="1" t="s">
        <v>550</v>
      </c>
      <c r="J12" s="1" t="s">
        <v>564</v>
      </c>
    </row>
    <row r="13" spans="1:10">
      <c r="A13" s="3">
        <v>46300</v>
      </c>
      <c r="B13" s="1" t="s">
        <v>565</v>
      </c>
      <c r="C13" s="1" t="s">
        <v>566</v>
      </c>
      <c r="D13" s="1">
        <v>5</v>
      </c>
      <c r="E13" s="1" t="s">
        <v>567</v>
      </c>
      <c r="F13" s="1" t="s">
        <v>568</v>
      </c>
      <c r="G13" s="1">
        <v>2</v>
      </c>
      <c r="H13" s="1" t="s">
        <v>569</v>
      </c>
      <c r="I13" s="1" t="s">
        <v>501</v>
      </c>
      <c r="J13" s="1" t="s">
        <v>570</v>
      </c>
    </row>
    <row r="14" spans="1:10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3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3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3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3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3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3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3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3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3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3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3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3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3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3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3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3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3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3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3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3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3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3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3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3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3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3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3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3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3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3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3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3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3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3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3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3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3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3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3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3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3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3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3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3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3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3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3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3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3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3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3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3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3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3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3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3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3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3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3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3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3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3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3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3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3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3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3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3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3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3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3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3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3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3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3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3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3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3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3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3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3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3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3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3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3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3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3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3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3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3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3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3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3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3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3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3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3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3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3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3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3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3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3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3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3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3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3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3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3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3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3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3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3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3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3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3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3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3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3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3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3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3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3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3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3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3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3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3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3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3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3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3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3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3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3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3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3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3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3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3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3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3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3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3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3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3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3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3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3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3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3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3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3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3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3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3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3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3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3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3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3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3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3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3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3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3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3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3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3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3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3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3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3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3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3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3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3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3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3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3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3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3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3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3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3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3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3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3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3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3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3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3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3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3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3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3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3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3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3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3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3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3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3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3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3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3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3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3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3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3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3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3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3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3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3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3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3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3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3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3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3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3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3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3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3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3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3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3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3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3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3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3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3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3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3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3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3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3"/>
      <c r="B255" s="1"/>
      <c r="C255" s="1"/>
      <c r="D255" s="1"/>
      <c r="E255" s="1"/>
      <c r="F255" s="1"/>
      <c r="G255" s="1"/>
      <c r="H255" s="1"/>
      <c r="I255" s="1"/>
      <c r="J255" s="1"/>
    </row>
  </sheetData>
  <mergeCells count="2">
    <mergeCell ref="A1:J2"/>
    <mergeCell ref="A3:J3"/>
  </mergeCells>
  <conditionalFormatting sqref="D6:D255">
    <cfRule type="colorScale" priority="1">
      <colorScale>
        <cfvo type="min"/>
        <cfvo type="percentile" val="50"/>
        <cfvo type="max"/>
        <color rgb="FFE7F2E9"/>
        <color rgb="FFFDECC8"/>
        <color rgb="FFF5C6C6"/>
      </colorScale>
    </cfRule>
  </conditionalFormatting>
  <conditionalFormatting sqref="G6:G255">
    <cfRule type="colorScale" priority="2">
      <colorScale>
        <cfvo type="min"/>
        <cfvo type="percentile" val="50"/>
        <cfvo type="max"/>
        <color rgb="FFE7F2E9"/>
        <color rgb="FFFDECC8"/>
        <color rgb="FFF5C6C6"/>
      </colorScale>
    </cfRule>
  </conditionalFormatting>
  <dataValidations count="3">
    <dataValidation type="list" allowBlank="1" showErrorMessage="1" errorTitle="Choose from the list" error="Choose a value from the dropdown, or add a custom option on Customize Lists." sqref="C6:C255" xr:uid="{00000000-0002-0000-0900-000000000000}">
      <formula1>INDIRECT("'Customize Lists'!$C$103:$C$122")</formula1>
    </dataValidation>
    <dataValidation type="list" allowBlank="1" showErrorMessage="1" errorTitle="Choose from the list" error="Choose a value from the dropdown, or add a custom option on Customize Lists." sqref="D6:D255 G6:G255" xr:uid="{00000000-0002-0000-0900-000001000000}">
      <formula1>INDIRECT("'Customize Lists'!$G$7:$G$22")</formula1>
    </dataValidation>
    <dataValidation type="list" allowBlank="1" showErrorMessage="1" errorTitle="Choose from the list" error="Choose a value from the dropdown, or add a custom option on Customize Lists." sqref="I6:I255" xr:uid="{00000000-0002-0000-0900-000003000000}">
      <formula1>INDIRECT("'Customize Lists'!$E$103:$E$111")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55"/>
  <sheetViews>
    <sheetView workbookViewId="0">
      <selection sqref="A1:K2"/>
    </sheetView>
  </sheetViews>
  <sheetFormatPr defaultRowHeight="14.25"/>
  <cols>
    <col min="1" max="1" width="12" customWidth="1"/>
    <col min="2" max="2" width="26" customWidth="1"/>
    <col min="3" max="3" width="16" customWidth="1"/>
    <col min="4" max="4" width="14" customWidth="1"/>
    <col min="5" max="6" width="15" customWidth="1"/>
    <col min="7" max="7" width="16" customWidth="1"/>
    <col min="8" max="9" width="24" customWidth="1"/>
    <col min="10" max="10" width="30" customWidth="1"/>
    <col min="11" max="11" width="44" customWidth="1"/>
  </cols>
  <sheetData>
    <row r="1" spans="1:11" ht="32.1" customHeight="1">
      <c r="A1" s="19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>
      <c r="A3" s="30" t="s">
        <v>571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33.950000000000003" customHeight="1">
      <c r="A5" s="12" t="s">
        <v>226</v>
      </c>
      <c r="B5" s="12" t="s">
        <v>572</v>
      </c>
      <c r="C5" s="12" t="s">
        <v>478</v>
      </c>
      <c r="D5" s="12" t="s">
        <v>573</v>
      </c>
      <c r="E5" s="12" t="s">
        <v>574</v>
      </c>
      <c r="F5" s="12" t="s">
        <v>575</v>
      </c>
      <c r="G5" s="12" t="s">
        <v>576</v>
      </c>
      <c r="H5" s="12" t="s">
        <v>577</v>
      </c>
      <c r="I5" s="12" t="s">
        <v>578</v>
      </c>
      <c r="J5" s="12" t="s">
        <v>579</v>
      </c>
      <c r="K5" s="12" t="s">
        <v>61</v>
      </c>
    </row>
    <row r="6" spans="1:11" ht="15">
      <c r="A6" s="3">
        <v>46287</v>
      </c>
      <c r="B6" s="1" t="s">
        <v>580</v>
      </c>
      <c r="C6" s="1">
        <v>3.7</v>
      </c>
      <c r="D6" s="1" t="s">
        <v>581</v>
      </c>
      <c r="E6" s="1">
        <v>4</v>
      </c>
      <c r="F6" s="1">
        <v>11</v>
      </c>
      <c r="G6" s="6" t="str">
        <f t="shared" ref="G6:G13" si="0">IF(C6="","",IF(AND(ISNUMBER(E6),C6&lt;E6),"Low",IF(AND(ISNUMBER(F6),C6&gt;F6),"High","In range")))</f>
        <v>Low</v>
      </c>
      <c r="H6" s="1" t="s">
        <v>407</v>
      </c>
      <c r="I6" s="1" t="s">
        <v>582</v>
      </c>
      <c r="J6" s="1" t="s">
        <v>319</v>
      </c>
      <c r="K6" s="1" t="s">
        <v>583</v>
      </c>
    </row>
    <row r="7" spans="1:11">
      <c r="A7" s="3">
        <v>46287</v>
      </c>
      <c r="B7" s="1" t="s">
        <v>584</v>
      </c>
      <c r="C7" s="1">
        <v>12.4</v>
      </c>
      <c r="D7" s="1" t="s">
        <v>585</v>
      </c>
      <c r="E7" s="1">
        <v>12</v>
      </c>
      <c r="F7" s="1">
        <v>15.5</v>
      </c>
      <c r="G7" s="6" t="str">
        <f t="shared" si="0"/>
        <v>In range</v>
      </c>
      <c r="H7" s="1" t="s">
        <v>407</v>
      </c>
      <c r="I7" s="1" t="s">
        <v>582</v>
      </c>
      <c r="J7" s="1" t="s">
        <v>319</v>
      </c>
      <c r="K7" s="1"/>
    </row>
    <row r="8" spans="1:11">
      <c r="A8" s="3">
        <v>46287</v>
      </c>
      <c r="B8" s="1" t="s">
        <v>586</v>
      </c>
      <c r="C8" s="1">
        <v>210</v>
      </c>
      <c r="D8" s="1" t="s">
        <v>581</v>
      </c>
      <c r="E8" s="1">
        <v>150</v>
      </c>
      <c r="F8" s="1">
        <v>450</v>
      </c>
      <c r="G8" s="6" t="str">
        <f t="shared" si="0"/>
        <v>In range</v>
      </c>
      <c r="H8" s="1" t="s">
        <v>407</v>
      </c>
      <c r="I8" s="1" t="s">
        <v>582</v>
      </c>
      <c r="J8" s="1" t="s">
        <v>319</v>
      </c>
      <c r="K8" s="1"/>
    </row>
    <row r="9" spans="1:11">
      <c r="A9" s="3">
        <v>46287</v>
      </c>
      <c r="B9" s="1" t="s">
        <v>587</v>
      </c>
      <c r="C9" s="1">
        <v>0.8</v>
      </c>
      <c r="D9" s="1" t="s">
        <v>588</v>
      </c>
      <c r="E9" s="1">
        <v>0.6</v>
      </c>
      <c r="F9" s="1">
        <v>1.1000000000000001</v>
      </c>
      <c r="G9" s="6" t="str">
        <f t="shared" si="0"/>
        <v>In range</v>
      </c>
      <c r="H9" s="1" t="s">
        <v>407</v>
      </c>
      <c r="I9" s="1" t="s">
        <v>582</v>
      </c>
      <c r="J9" s="1" t="s">
        <v>319</v>
      </c>
      <c r="K9" s="1"/>
    </row>
    <row r="10" spans="1:11">
      <c r="A10" s="3">
        <v>46287</v>
      </c>
      <c r="B10" s="1" t="s">
        <v>589</v>
      </c>
      <c r="C10" s="1">
        <v>24</v>
      </c>
      <c r="D10" s="1" t="s">
        <v>590</v>
      </c>
      <c r="E10" s="1">
        <v>7</v>
      </c>
      <c r="F10" s="1">
        <v>35</v>
      </c>
      <c r="G10" s="6" t="str">
        <f t="shared" si="0"/>
        <v>In range</v>
      </c>
      <c r="H10" s="1" t="s">
        <v>407</v>
      </c>
      <c r="I10" s="1" t="s">
        <v>582</v>
      </c>
      <c r="J10" s="1" t="s">
        <v>319</v>
      </c>
      <c r="K10" s="1"/>
    </row>
    <row r="11" spans="1:11" ht="15">
      <c r="A11" s="3">
        <v>46287</v>
      </c>
      <c r="B11" s="1" t="s">
        <v>591</v>
      </c>
      <c r="C11" s="1">
        <v>1.6</v>
      </c>
      <c r="D11" s="1" t="s">
        <v>588</v>
      </c>
      <c r="E11" s="1">
        <v>0</v>
      </c>
      <c r="F11" s="1">
        <v>0.8</v>
      </c>
      <c r="G11" s="6" t="str">
        <f t="shared" si="0"/>
        <v>High</v>
      </c>
      <c r="H11" s="1" t="s">
        <v>407</v>
      </c>
      <c r="I11" s="1" t="s">
        <v>582</v>
      </c>
      <c r="J11" s="1" t="s">
        <v>319</v>
      </c>
      <c r="K11" s="1" t="s">
        <v>592</v>
      </c>
    </row>
    <row r="12" spans="1:11">
      <c r="A12" s="3">
        <v>46301</v>
      </c>
      <c r="B12" s="1" t="s">
        <v>580</v>
      </c>
      <c r="C12" s="1">
        <v>4.4000000000000004</v>
      </c>
      <c r="D12" s="1" t="s">
        <v>581</v>
      </c>
      <c r="E12" s="1">
        <v>4</v>
      </c>
      <c r="F12" s="1">
        <v>11</v>
      </c>
      <c r="G12" s="6" t="str">
        <f t="shared" si="0"/>
        <v>In range</v>
      </c>
      <c r="H12" s="1" t="s">
        <v>407</v>
      </c>
      <c r="I12" s="1" t="s">
        <v>582</v>
      </c>
      <c r="J12" s="1" t="s">
        <v>593</v>
      </c>
      <c r="K12" s="1" t="s">
        <v>594</v>
      </c>
    </row>
    <row r="13" spans="1:11">
      <c r="A13" s="3">
        <v>46301</v>
      </c>
      <c r="B13" s="1" t="s">
        <v>591</v>
      </c>
      <c r="C13" s="1">
        <v>0.6</v>
      </c>
      <c r="D13" s="1" t="s">
        <v>588</v>
      </c>
      <c r="E13" s="1">
        <v>0</v>
      </c>
      <c r="F13" s="1">
        <v>0.8</v>
      </c>
      <c r="G13" s="6" t="str">
        <f t="shared" si="0"/>
        <v>In range</v>
      </c>
      <c r="H13" s="1" t="s">
        <v>407</v>
      </c>
      <c r="I13" s="1" t="s">
        <v>582</v>
      </c>
      <c r="J13" s="1" t="s">
        <v>593</v>
      </c>
      <c r="K13" s="1" t="s">
        <v>594</v>
      </c>
    </row>
    <row r="14" spans="1:11">
      <c r="A14" s="3"/>
      <c r="B14" s="1"/>
      <c r="C14" s="1"/>
      <c r="D14" s="1"/>
      <c r="E14" s="1"/>
      <c r="F14" s="1"/>
      <c r="G14" s="6" t="str">
        <f t="shared" ref="G14:G77" si="1">IF(C14="","",IF(NOT(ISNUMBER(C14)),"See lab report",IF(AND(ISNUMBER(E14),C14&lt;E14),"Low",IF(AND(ISNUMBER(F14),C14&gt;F14),"High",IF(OR(ISNUMBER(E14),ISNUMBER(F14)),"In range","See lab report")))))</f>
        <v/>
      </c>
      <c r="H14" s="1"/>
      <c r="I14" s="1"/>
      <c r="J14" s="1"/>
      <c r="K14" s="1"/>
    </row>
    <row r="15" spans="1:11">
      <c r="A15" s="3"/>
      <c r="B15" s="1"/>
      <c r="C15" s="1"/>
      <c r="D15" s="1"/>
      <c r="E15" s="1"/>
      <c r="F15" s="1"/>
      <c r="G15" s="6" t="str">
        <f t="shared" si="1"/>
        <v/>
      </c>
      <c r="H15" s="1"/>
      <c r="I15" s="1"/>
      <c r="J15" s="1"/>
      <c r="K15" s="1"/>
    </row>
    <row r="16" spans="1:11">
      <c r="A16" s="3"/>
      <c r="B16" s="1"/>
      <c r="C16" s="1"/>
      <c r="D16" s="1"/>
      <c r="E16" s="1"/>
      <c r="F16" s="1"/>
      <c r="G16" s="6" t="str">
        <f t="shared" si="1"/>
        <v/>
      </c>
      <c r="H16" s="1"/>
      <c r="I16" s="1"/>
      <c r="J16" s="1"/>
      <c r="K16" s="1"/>
    </row>
    <row r="17" spans="1:11">
      <c r="A17" s="3"/>
      <c r="B17" s="1"/>
      <c r="C17" s="1"/>
      <c r="D17" s="1"/>
      <c r="E17" s="1"/>
      <c r="F17" s="1"/>
      <c r="G17" s="6" t="str">
        <f t="shared" si="1"/>
        <v/>
      </c>
      <c r="H17" s="1"/>
      <c r="I17" s="1"/>
      <c r="J17" s="1"/>
      <c r="K17" s="1"/>
    </row>
    <row r="18" spans="1:11">
      <c r="A18" s="3"/>
      <c r="B18" s="1"/>
      <c r="C18" s="1"/>
      <c r="D18" s="1"/>
      <c r="E18" s="1"/>
      <c r="F18" s="1"/>
      <c r="G18" s="6" t="str">
        <f t="shared" si="1"/>
        <v/>
      </c>
      <c r="H18" s="1"/>
      <c r="I18" s="1"/>
      <c r="J18" s="1"/>
      <c r="K18" s="1"/>
    </row>
    <row r="19" spans="1:11">
      <c r="A19" s="3"/>
      <c r="B19" s="1"/>
      <c r="C19" s="1"/>
      <c r="D19" s="1"/>
      <c r="E19" s="1"/>
      <c r="F19" s="1"/>
      <c r="G19" s="6" t="str">
        <f t="shared" si="1"/>
        <v/>
      </c>
      <c r="H19" s="1"/>
      <c r="I19" s="1"/>
      <c r="J19" s="1"/>
      <c r="K19" s="1"/>
    </row>
    <row r="20" spans="1:11">
      <c r="A20" s="3"/>
      <c r="B20" s="1"/>
      <c r="C20" s="1"/>
      <c r="D20" s="1"/>
      <c r="E20" s="1"/>
      <c r="F20" s="1"/>
      <c r="G20" s="6" t="str">
        <f t="shared" si="1"/>
        <v/>
      </c>
      <c r="H20" s="1"/>
      <c r="I20" s="1"/>
      <c r="J20" s="1"/>
      <c r="K20" s="1"/>
    </row>
    <row r="21" spans="1:11">
      <c r="A21" s="3"/>
      <c r="B21" s="1"/>
      <c r="C21" s="1"/>
      <c r="D21" s="1"/>
      <c r="E21" s="1"/>
      <c r="F21" s="1"/>
      <c r="G21" s="6" t="str">
        <f t="shared" si="1"/>
        <v/>
      </c>
      <c r="H21" s="1"/>
      <c r="I21" s="1"/>
      <c r="J21" s="1"/>
      <c r="K21" s="1"/>
    </row>
    <row r="22" spans="1:11">
      <c r="A22" s="3"/>
      <c r="B22" s="1"/>
      <c r="C22" s="1"/>
      <c r="D22" s="1"/>
      <c r="E22" s="1"/>
      <c r="F22" s="1"/>
      <c r="G22" s="6" t="str">
        <f t="shared" si="1"/>
        <v/>
      </c>
      <c r="H22" s="1"/>
      <c r="I22" s="1"/>
      <c r="J22" s="1"/>
      <c r="K22" s="1"/>
    </row>
    <row r="23" spans="1:11">
      <c r="A23" s="3"/>
      <c r="B23" s="1"/>
      <c r="C23" s="1"/>
      <c r="D23" s="1"/>
      <c r="E23" s="1"/>
      <c r="F23" s="1"/>
      <c r="G23" s="6" t="str">
        <f t="shared" si="1"/>
        <v/>
      </c>
      <c r="H23" s="1"/>
      <c r="I23" s="1"/>
      <c r="J23" s="1"/>
      <c r="K23" s="1"/>
    </row>
    <row r="24" spans="1:11">
      <c r="A24" s="3"/>
      <c r="B24" s="1"/>
      <c r="C24" s="1"/>
      <c r="D24" s="1"/>
      <c r="E24" s="1"/>
      <c r="F24" s="1"/>
      <c r="G24" s="6" t="str">
        <f t="shared" si="1"/>
        <v/>
      </c>
      <c r="H24" s="1"/>
      <c r="I24" s="1"/>
      <c r="J24" s="1"/>
      <c r="K24" s="1"/>
    </row>
    <row r="25" spans="1:11">
      <c r="A25" s="3"/>
      <c r="B25" s="1"/>
      <c r="C25" s="1"/>
      <c r="D25" s="1"/>
      <c r="E25" s="1"/>
      <c r="F25" s="1"/>
      <c r="G25" s="6" t="str">
        <f t="shared" si="1"/>
        <v/>
      </c>
      <c r="H25" s="1"/>
      <c r="I25" s="1"/>
      <c r="J25" s="1"/>
      <c r="K25" s="1"/>
    </row>
    <row r="26" spans="1:11">
      <c r="A26" s="3"/>
      <c r="B26" s="1"/>
      <c r="C26" s="1"/>
      <c r="D26" s="1"/>
      <c r="E26" s="1"/>
      <c r="F26" s="1"/>
      <c r="G26" s="6" t="str">
        <f t="shared" si="1"/>
        <v/>
      </c>
      <c r="H26" s="1"/>
      <c r="I26" s="1"/>
      <c r="J26" s="1"/>
      <c r="K26" s="1"/>
    </row>
    <row r="27" spans="1:11">
      <c r="A27" s="3"/>
      <c r="B27" s="1"/>
      <c r="C27" s="1"/>
      <c r="D27" s="1"/>
      <c r="E27" s="1"/>
      <c r="F27" s="1"/>
      <c r="G27" s="6" t="str">
        <f t="shared" si="1"/>
        <v/>
      </c>
      <c r="H27" s="1"/>
      <c r="I27" s="1"/>
      <c r="J27" s="1"/>
      <c r="K27" s="1"/>
    </row>
    <row r="28" spans="1:11">
      <c r="A28" s="3"/>
      <c r="B28" s="1"/>
      <c r="C28" s="1"/>
      <c r="D28" s="1"/>
      <c r="E28" s="1"/>
      <c r="F28" s="1"/>
      <c r="G28" s="6" t="str">
        <f t="shared" si="1"/>
        <v/>
      </c>
      <c r="H28" s="1"/>
      <c r="I28" s="1"/>
      <c r="J28" s="1"/>
      <c r="K28" s="1"/>
    </row>
    <row r="29" spans="1:11">
      <c r="A29" s="3"/>
      <c r="B29" s="1"/>
      <c r="C29" s="1"/>
      <c r="D29" s="1"/>
      <c r="E29" s="1"/>
      <c r="F29" s="1"/>
      <c r="G29" s="6" t="str">
        <f t="shared" si="1"/>
        <v/>
      </c>
      <c r="H29" s="1"/>
      <c r="I29" s="1"/>
      <c r="J29" s="1"/>
      <c r="K29" s="1"/>
    </row>
    <row r="30" spans="1:11">
      <c r="A30" s="3"/>
      <c r="B30" s="1"/>
      <c r="C30" s="1"/>
      <c r="D30" s="1"/>
      <c r="E30" s="1"/>
      <c r="F30" s="1"/>
      <c r="G30" s="6" t="str">
        <f t="shared" si="1"/>
        <v/>
      </c>
      <c r="H30" s="1"/>
      <c r="I30" s="1"/>
      <c r="J30" s="1"/>
      <c r="K30" s="1"/>
    </row>
    <row r="31" spans="1:11">
      <c r="A31" s="3"/>
      <c r="B31" s="1"/>
      <c r="C31" s="1"/>
      <c r="D31" s="1"/>
      <c r="E31" s="1"/>
      <c r="F31" s="1"/>
      <c r="G31" s="6" t="str">
        <f t="shared" si="1"/>
        <v/>
      </c>
      <c r="H31" s="1"/>
      <c r="I31" s="1"/>
      <c r="J31" s="1"/>
      <c r="K31" s="1"/>
    </row>
    <row r="32" spans="1:11">
      <c r="A32" s="3"/>
      <c r="B32" s="1"/>
      <c r="C32" s="1"/>
      <c r="D32" s="1"/>
      <c r="E32" s="1"/>
      <c r="F32" s="1"/>
      <c r="G32" s="6" t="str">
        <f t="shared" si="1"/>
        <v/>
      </c>
      <c r="H32" s="1"/>
      <c r="I32" s="1"/>
      <c r="J32" s="1"/>
      <c r="K32" s="1"/>
    </row>
    <row r="33" spans="1:11">
      <c r="A33" s="3"/>
      <c r="B33" s="1"/>
      <c r="C33" s="1"/>
      <c r="D33" s="1"/>
      <c r="E33" s="1"/>
      <c r="F33" s="1"/>
      <c r="G33" s="6" t="str">
        <f t="shared" si="1"/>
        <v/>
      </c>
      <c r="H33" s="1"/>
      <c r="I33" s="1"/>
      <c r="J33" s="1"/>
      <c r="K33" s="1"/>
    </row>
    <row r="34" spans="1:11">
      <c r="A34" s="3"/>
      <c r="B34" s="1"/>
      <c r="C34" s="1"/>
      <c r="D34" s="1"/>
      <c r="E34" s="1"/>
      <c r="F34" s="1"/>
      <c r="G34" s="6" t="str">
        <f t="shared" si="1"/>
        <v/>
      </c>
      <c r="H34" s="1"/>
      <c r="I34" s="1"/>
      <c r="J34" s="1"/>
      <c r="K34" s="1"/>
    </row>
    <row r="35" spans="1:11">
      <c r="A35" s="3"/>
      <c r="B35" s="1"/>
      <c r="C35" s="1"/>
      <c r="D35" s="1"/>
      <c r="E35" s="1"/>
      <c r="F35" s="1"/>
      <c r="G35" s="6" t="str">
        <f t="shared" si="1"/>
        <v/>
      </c>
      <c r="H35" s="1"/>
      <c r="I35" s="1"/>
      <c r="J35" s="1"/>
      <c r="K35" s="1"/>
    </row>
    <row r="36" spans="1:11">
      <c r="A36" s="3"/>
      <c r="B36" s="1"/>
      <c r="C36" s="1"/>
      <c r="D36" s="1"/>
      <c r="E36" s="1"/>
      <c r="F36" s="1"/>
      <c r="G36" s="6" t="str">
        <f t="shared" si="1"/>
        <v/>
      </c>
      <c r="H36" s="1"/>
      <c r="I36" s="1"/>
      <c r="J36" s="1"/>
      <c r="K36" s="1"/>
    </row>
    <row r="37" spans="1:11">
      <c r="A37" s="3"/>
      <c r="B37" s="1"/>
      <c r="C37" s="1"/>
      <c r="D37" s="1"/>
      <c r="E37" s="1"/>
      <c r="F37" s="1"/>
      <c r="G37" s="6" t="str">
        <f t="shared" si="1"/>
        <v/>
      </c>
      <c r="H37" s="1"/>
      <c r="I37" s="1"/>
      <c r="J37" s="1"/>
      <c r="K37" s="1"/>
    </row>
    <row r="38" spans="1:11">
      <c r="A38" s="3"/>
      <c r="B38" s="1"/>
      <c r="C38" s="1"/>
      <c r="D38" s="1"/>
      <c r="E38" s="1"/>
      <c r="F38" s="1"/>
      <c r="G38" s="6" t="str">
        <f t="shared" si="1"/>
        <v/>
      </c>
      <c r="H38" s="1"/>
      <c r="I38" s="1"/>
      <c r="J38" s="1"/>
      <c r="K38" s="1"/>
    </row>
    <row r="39" spans="1:11">
      <c r="A39" s="3"/>
      <c r="B39" s="1"/>
      <c r="C39" s="1"/>
      <c r="D39" s="1"/>
      <c r="E39" s="1"/>
      <c r="F39" s="1"/>
      <c r="G39" s="6" t="str">
        <f t="shared" si="1"/>
        <v/>
      </c>
      <c r="H39" s="1"/>
      <c r="I39" s="1"/>
      <c r="J39" s="1"/>
      <c r="K39" s="1"/>
    </row>
    <row r="40" spans="1:11">
      <c r="A40" s="3"/>
      <c r="B40" s="1"/>
      <c r="C40" s="1"/>
      <c r="D40" s="1"/>
      <c r="E40" s="1"/>
      <c r="F40" s="1"/>
      <c r="G40" s="6" t="str">
        <f t="shared" si="1"/>
        <v/>
      </c>
      <c r="H40" s="1"/>
      <c r="I40" s="1"/>
      <c r="J40" s="1"/>
      <c r="K40" s="1"/>
    </row>
    <row r="41" spans="1:11">
      <c r="A41" s="3"/>
      <c r="B41" s="1"/>
      <c r="C41" s="1"/>
      <c r="D41" s="1"/>
      <c r="E41" s="1"/>
      <c r="F41" s="1"/>
      <c r="G41" s="6" t="str">
        <f t="shared" si="1"/>
        <v/>
      </c>
      <c r="H41" s="1"/>
      <c r="I41" s="1"/>
      <c r="J41" s="1"/>
      <c r="K41" s="1"/>
    </row>
    <row r="42" spans="1:11">
      <c r="A42" s="3"/>
      <c r="B42" s="1"/>
      <c r="C42" s="1"/>
      <c r="D42" s="1"/>
      <c r="E42" s="1"/>
      <c r="F42" s="1"/>
      <c r="G42" s="6" t="str">
        <f t="shared" si="1"/>
        <v/>
      </c>
      <c r="H42" s="1"/>
      <c r="I42" s="1"/>
      <c r="J42" s="1"/>
      <c r="K42" s="1"/>
    </row>
    <row r="43" spans="1:11">
      <c r="A43" s="3"/>
      <c r="B43" s="1"/>
      <c r="C43" s="1"/>
      <c r="D43" s="1"/>
      <c r="E43" s="1"/>
      <c r="F43" s="1"/>
      <c r="G43" s="6" t="str">
        <f t="shared" si="1"/>
        <v/>
      </c>
      <c r="H43" s="1"/>
      <c r="I43" s="1"/>
      <c r="J43" s="1"/>
      <c r="K43" s="1"/>
    </row>
    <row r="44" spans="1:11">
      <c r="A44" s="3"/>
      <c r="B44" s="1"/>
      <c r="C44" s="1"/>
      <c r="D44" s="1"/>
      <c r="E44" s="1"/>
      <c r="F44" s="1"/>
      <c r="G44" s="6" t="str">
        <f t="shared" si="1"/>
        <v/>
      </c>
      <c r="H44" s="1"/>
      <c r="I44" s="1"/>
      <c r="J44" s="1"/>
      <c r="K44" s="1"/>
    </row>
    <row r="45" spans="1:11">
      <c r="A45" s="3"/>
      <c r="B45" s="1"/>
      <c r="C45" s="1"/>
      <c r="D45" s="1"/>
      <c r="E45" s="1"/>
      <c r="F45" s="1"/>
      <c r="G45" s="6" t="str">
        <f t="shared" si="1"/>
        <v/>
      </c>
      <c r="H45" s="1"/>
      <c r="I45" s="1"/>
      <c r="J45" s="1"/>
      <c r="K45" s="1"/>
    </row>
    <row r="46" spans="1:11">
      <c r="A46" s="3"/>
      <c r="B46" s="1"/>
      <c r="C46" s="1"/>
      <c r="D46" s="1"/>
      <c r="E46" s="1"/>
      <c r="F46" s="1"/>
      <c r="G46" s="6" t="str">
        <f t="shared" si="1"/>
        <v/>
      </c>
      <c r="H46" s="1"/>
      <c r="I46" s="1"/>
      <c r="J46" s="1"/>
      <c r="K46" s="1"/>
    </row>
    <row r="47" spans="1:11">
      <c r="A47" s="3"/>
      <c r="B47" s="1"/>
      <c r="C47" s="1"/>
      <c r="D47" s="1"/>
      <c r="E47" s="1"/>
      <c r="F47" s="1"/>
      <c r="G47" s="6" t="str">
        <f t="shared" si="1"/>
        <v/>
      </c>
      <c r="H47" s="1"/>
      <c r="I47" s="1"/>
      <c r="J47" s="1"/>
      <c r="K47" s="1"/>
    </row>
    <row r="48" spans="1:11">
      <c r="A48" s="3"/>
      <c r="B48" s="1"/>
      <c r="C48" s="1"/>
      <c r="D48" s="1"/>
      <c r="E48" s="1"/>
      <c r="F48" s="1"/>
      <c r="G48" s="6" t="str">
        <f t="shared" si="1"/>
        <v/>
      </c>
      <c r="H48" s="1"/>
      <c r="I48" s="1"/>
      <c r="J48" s="1"/>
      <c r="K48" s="1"/>
    </row>
    <row r="49" spans="1:11">
      <c r="A49" s="3"/>
      <c r="B49" s="1"/>
      <c r="C49" s="1"/>
      <c r="D49" s="1"/>
      <c r="E49" s="1"/>
      <c r="F49" s="1"/>
      <c r="G49" s="6" t="str">
        <f t="shared" si="1"/>
        <v/>
      </c>
      <c r="H49" s="1"/>
      <c r="I49" s="1"/>
      <c r="J49" s="1"/>
      <c r="K49" s="1"/>
    </row>
    <row r="50" spans="1:11">
      <c r="A50" s="3"/>
      <c r="B50" s="1"/>
      <c r="C50" s="1"/>
      <c r="D50" s="1"/>
      <c r="E50" s="1"/>
      <c r="F50" s="1"/>
      <c r="G50" s="6" t="str">
        <f t="shared" si="1"/>
        <v/>
      </c>
      <c r="H50" s="1"/>
      <c r="I50" s="1"/>
      <c r="J50" s="1"/>
      <c r="K50" s="1"/>
    </row>
    <row r="51" spans="1:11">
      <c r="A51" s="3"/>
      <c r="B51" s="1"/>
      <c r="C51" s="1"/>
      <c r="D51" s="1"/>
      <c r="E51" s="1"/>
      <c r="F51" s="1"/>
      <c r="G51" s="6" t="str">
        <f t="shared" si="1"/>
        <v/>
      </c>
      <c r="H51" s="1"/>
      <c r="I51" s="1"/>
      <c r="J51" s="1"/>
      <c r="K51" s="1"/>
    </row>
    <row r="52" spans="1:11">
      <c r="A52" s="3"/>
      <c r="B52" s="1"/>
      <c r="C52" s="1"/>
      <c r="D52" s="1"/>
      <c r="E52" s="1"/>
      <c r="F52" s="1"/>
      <c r="G52" s="6" t="str">
        <f t="shared" si="1"/>
        <v/>
      </c>
      <c r="H52" s="1"/>
      <c r="I52" s="1"/>
      <c r="J52" s="1"/>
      <c r="K52" s="1"/>
    </row>
    <row r="53" spans="1:11">
      <c r="A53" s="3"/>
      <c r="B53" s="1"/>
      <c r="C53" s="1"/>
      <c r="D53" s="1"/>
      <c r="E53" s="1"/>
      <c r="F53" s="1"/>
      <c r="G53" s="6" t="str">
        <f t="shared" si="1"/>
        <v/>
      </c>
      <c r="H53" s="1"/>
      <c r="I53" s="1"/>
      <c r="J53" s="1"/>
      <c r="K53" s="1"/>
    </row>
    <row r="54" spans="1:11">
      <c r="A54" s="3"/>
      <c r="B54" s="1"/>
      <c r="C54" s="1"/>
      <c r="D54" s="1"/>
      <c r="E54" s="1"/>
      <c r="F54" s="1"/>
      <c r="G54" s="6" t="str">
        <f t="shared" si="1"/>
        <v/>
      </c>
      <c r="H54" s="1"/>
      <c r="I54" s="1"/>
      <c r="J54" s="1"/>
      <c r="K54" s="1"/>
    </row>
    <row r="55" spans="1:11">
      <c r="A55" s="3"/>
      <c r="B55" s="1"/>
      <c r="C55" s="1"/>
      <c r="D55" s="1"/>
      <c r="E55" s="1"/>
      <c r="F55" s="1"/>
      <c r="G55" s="6" t="str">
        <f t="shared" si="1"/>
        <v/>
      </c>
      <c r="H55" s="1"/>
      <c r="I55" s="1"/>
      <c r="J55" s="1"/>
      <c r="K55" s="1"/>
    </row>
    <row r="56" spans="1:11">
      <c r="A56" s="3"/>
      <c r="B56" s="1"/>
      <c r="C56" s="1"/>
      <c r="D56" s="1"/>
      <c r="E56" s="1"/>
      <c r="F56" s="1"/>
      <c r="G56" s="6" t="str">
        <f t="shared" si="1"/>
        <v/>
      </c>
      <c r="H56" s="1"/>
      <c r="I56" s="1"/>
      <c r="J56" s="1"/>
      <c r="K56" s="1"/>
    </row>
    <row r="57" spans="1:11">
      <c r="A57" s="3"/>
      <c r="B57" s="1"/>
      <c r="C57" s="1"/>
      <c r="D57" s="1"/>
      <c r="E57" s="1"/>
      <c r="F57" s="1"/>
      <c r="G57" s="6" t="str">
        <f t="shared" si="1"/>
        <v/>
      </c>
      <c r="H57" s="1"/>
      <c r="I57" s="1"/>
      <c r="J57" s="1"/>
      <c r="K57" s="1"/>
    </row>
    <row r="58" spans="1:11">
      <c r="A58" s="3"/>
      <c r="B58" s="1"/>
      <c r="C58" s="1"/>
      <c r="D58" s="1"/>
      <c r="E58" s="1"/>
      <c r="F58" s="1"/>
      <c r="G58" s="6" t="str">
        <f t="shared" si="1"/>
        <v/>
      </c>
      <c r="H58" s="1"/>
      <c r="I58" s="1"/>
      <c r="J58" s="1"/>
      <c r="K58" s="1"/>
    </row>
    <row r="59" spans="1:11">
      <c r="A59" s="3"/>
      <c r="B59" s="1"/>
      <c r="C59" s="1"/>
      <c r="D59" s="1"/>
      <c r="E59" s="1"/>
      <c r="F59" s="1"/>
      <c r="G59" s="6" t="str">
        <f t="shared" si="1"/>
        <v/>
      </c>
      <c r="H59" s="1"/>
      <c r="I59" s="1"/>
      <c r="J59" s="1"/>
      <c r="K59" s="1"/>
    </row>
    <row r="60" spans="1:11">
      <c r="A60" s="3"/>
      <c r="B60" s="1"/>
      <c r="C60" s="1"/>
      <c r="D60" s="1"/>
      <c r="E60" s="1"/>
      <c r="F60" s="1"/>
      <c r="G60" s="6" t="str">
        <f t="shared" si="1"/>
        <v/>
      </c>
      <c r="H60" s="1"/>
      <c r="I60" s="1"/>
      <c r="J60" s="1"/>
      <c r="K60" s="1"/>
    </row>
    <row r="61" spans="1:11">
      <c r="A61" s="3"/>
      <c r="B61" s="1"/>
      <c r="C61" s="1"/>
      <c r="D61" s="1"/>
      <c r="E61" s="1"/>
      <c r="F61" s="1"/>
      <c r="G61" s="6" t="str">
        <f t="shared" si="1"/>
        <v/>
      </c>
      <c r="H61" s="1"/>
      <c r="I61" s="1"/>
      <c r="J61" s="1"/>
      <c r="K61" s="1"/>
    </row>
    <row r="62" spans="1:11">
      <c r="A62" s="3"/>
      <c r="B62" s="1"/>
      <c r="C62" s="1"/>
      <c r="D62" s="1"/>
      <c r="E62" s="1"/>
      <c r="F62" s="1"/>
      <c r="G62" s="6" t="str">
        <f t="shared" si="1"/>
        <v/>
      </c>
      <c r="H62" s="1"/>
      <c r="I62" s="1"/>
      <c r="J62" s="1"/>
      <c r="K62" s="1"/>
    </row>
    <row r="63" spans="1:11">
      <c r="A63" s="3"/>
      <c r="B63" s="1"/>
      <c r="C63" s="1"/>
      <c r="D63" s="1"/>
      <c r="E63" s="1"/>
      <c r="F63" s="1"/>
      <c r="G63" s="6" t="str">
        <f t="shared" si="1"/>
        <v/>
      </c>
      <c r="H63" s="1"/>
      <c r="I63" s="1"/>
      <c r="J63" s="1"/>
      <c r="K63" s="1"/>
    </row>
    <row r="64" spans="1:11">
      <c r="A64" s="3"/>
      <c r="B64" s="1"/>
      <c r="C64" s="1"/>
      <c r="D64" s="1"/>
      <c r="E64" s="1"/>
      <c r="F64" s="1"/>
      <c r="G64" s="6" t="str">
        <f t="shared" si="1"/>
        <v/>
      </c>
      <c r="H64" s="1"/>
      <c r="I64" s="1"/>
      <c r="J64" s="1"/>
      <c r="K64" s="1"/>
    </row>
    <row r="65" spans="1:11">
      <c r="A65" s="3"/>
      <c r="B65" s="1"/>
      <c r="C65" s="1"/>
      <c r="D65" s="1"/>
      <c r="E65" s="1"/>
      <c r="F65" s="1"/>
      <c r="G65" s="6" t="str">
        <f t="shared" si="1"/>
        <v/>
      </c>
      <c r="H65" s="1"/>
      <c r="I65" s="1"/>
      <c r="J65" s="1"/>
      <c r="K65" s="1"/>
    </row>
    <row r="66" spans="1:11">
      <c r="A66" s="3"/>
      <c r="B66" s="1"/>
      <c r="C66" s="1"/>
      <c r="D66" s="1"/>
      <c r="E66" s="1"/>
      <c r="F66" s="1"/>
      <c r="G66" s="6" t="str">
        <f t="shared" si="1"/>
        <v/>
      </c>
      <c r="H66" s="1"/>
      <c r="I66" s="1"/>
      <c r="J66" s="1"/>
      <c r="K66" s="1"/>
    </row>
    <row r="67" spans="1:11">
      <c r="A67" s="3"/>
      <c r="B67" s="1"/>
      <c r="C67" s="1"/>
      <c r="D67" s="1"/>
      <c r="E67" s="1"/>
      <c r="F67" s="1"/>
      <c r="G67" s="6" t="str">
        <f t="shared" si="1"/>
        <v/>
      </c>
      <c r="H67" s="1"/>
      <c r="I67" s="1"/>
      <c r="J67" s="1"/>
      <c r="K67" s="1"/>
    </row>
    <row r="68" spans="1:11">
      <c r="A68" s="3"/>
      <c r="B68" s="1"/>
      <c r="C68" s="1"/>
      <c r="D68" s="1"/>
      <c r="E68" s="1"/>
      <c r="F68" s="1"/>
      <c r="G68" s="6" t="str">
        <f t="shared" si="1"/>
        <v/>
      </c>
      <c r="H68" s="1"/>
      <c r="I68" s="1"/>
      <c r="J68" s="1"/>
      <c r="K68" s="1"/>
    </row>
    <row r="69" spans="1:11">
      <c r="A69" s="3"/>
      <c r="B69" s="1"/>
      <c r="C69" s="1"/>
      <c r="D69" s="1"/>
      <c r="E69" s="1"/>
      <c r="F69" s="1"/>
      <c r="G69" s="6" t="str">
        <f t="shared" si="1"/>
        <v/>
      </c>
      <c r="H69" s="1"/>
      <c r="I69" s="1"/>
      <c r="J69" s="1"/>
      <c r="K69" s="1"/>
    </row>
    <row r="70" spans="1:11">
      <c r="A70" s="3"/>
      <c r="B70" s="1"/>
      <c r="C70" s="1"/>
      <c r="D70" s="1"/>
      <c r="E70" s="1"/>
      <c r="F70" s="1"/>
      <c r="G70" s="6" t="str">
        <f t="shared" si="1"/>
        <v/>
      </c>
      <c r="H70" s="1"/>
      <c r="I70" s="1"/>
      <c r="J70" s="1"/>
      <c r="K70" s="1"/>
    </row>
    <row r="71" spans="1:11">
      <c r="A71" s="3"/>
      <c r="B71" s="1"/>
      <c r="C71" s="1"/>
      <c r="D71" s="1"/>
      <c r="E71" s="1"/>
      <c r="F71" s="1"/>
      <c r="G71" s="6" t="str">
        <f t="shared" si="1"/>
        <v/>
      </c>
      <c r="H71" s="1"/>
      <c r="I71" s="1"/>
      <c r="J71" s="1"/>
      <c r="K71" s="1"/>
    </row>
    <row r="72" spans="1:11">
      <c r="A72" s="3"/>
      <c r="B72" s="1"/>
      <c r="C72" s="1"/>
      <c r="D72" s="1"/>
      <c r="E72" s="1"/>
      <c r="F72" s="1"/>
      <c r="G72" s="6" t="str">
        <f t="shared" si="1"/>
        <v/>
      </c>
      <c r="H72" s="1"/>
      <c r="I72" s="1"/>
      <c r="J72" s="1"/>
      <c r="K72" s="1"/>
    </row>
    <row r="73" spans="1:11">
      <c r="A73" s="3"/>
      <c r="B73" s="1"/>
      <c r="C73" s="1"/>
      <c r="D73" s="1"/>
      <c r="E73" s="1"/>
      <c r="F73" s="1"/>
      <c r="G73" s="6" t="str">
        <f t="shared" si="1"/>
        <v/>
      </c>
      <c r="H73" s="1"/>
      <c r="I73" s="1"/>
      <c r="J73" s="1"/>
      <c r="K73" s="1"/>
    </row>
    <row r="74" spans="1:11">
      <c r="A74" s="3"/>
      <c r="B74" s="1"/>
      <c r="C74" s="1"/>
      <c r="D74" s="1"/>
      <c r="E74" s="1"/>
      <c r="F74" s="1"/>
      <c r="G74" s="6" t="str">
        <f t="shared" si="1"/>
        <v/>
      </c>
      <c r="H74" s="1"/>
      <c r="I74" s="1"/>
      <c r="J74" s="1"/>
      <c r="K74" s="1"/>
    </row>
    <row r="75" spans="1:11">
      <c r="A75" s="3"/>
      <c r="B75" s="1"/>
      <c r="C75" s="1"/>
      <c r="D75" s="1"/>
      <c r="E75" s="1"/>
      <c r="F75" s="1"/>
      <c r="G75" s="6" t="str">
        <f t="shared" si="1"/>
        <v/>
      </c>
      <c r="H75" s="1"/>
      <c r="I75" s="1"/>
      <c r="J75" s="1"/>
      <c r="K75" s="1"/>
    </row>
    <row r="76" spans="1:11">
      <c r="A76" s="3"/>
      <c r="B76" s="1"/>
      <c r="C76" s="1"/>
      <c r="D76" s="1"/>
      <c r="E76" s="1"/>
      <c r="F76" s="1"/>
      <c r="G76" s="6" t="str">
        <f t="shared" si="1"/>
        <v/>
      </c>
      <c r="H76" s="1"/>
      <c r="I76" s="1"/>
      <c r="J76" s="1"/>
      <c r="K76" s="1"/>
    </row>
    <row r="77" spans="1:11">
      <c r="A77" s="3"/>
      <c r="B77" s="1"/>
      <c r="C77" s="1"/>
      <c r="D77" s="1"/>
      <c r="E77" s="1"/>
      <c r="F77" s="1"/>
      <c r="G77" s="6" t="str">
        <f t="shared" si="1"/>
        <v/>
      </c>
      <c r="H77" s="1"/>
      <c r="I77" s="1"/>
      <c r="J77" s="1"/>
      <c r="K77" s="1"/>
    </row>
    <row r="78" spans="1:11">
      <c r="A78" s="3"/>
      <c r="B78" s="1"/>
      <c r="C78" s="1"/>
      <c r="D78" s="1"/>
      <c r="E78" s="1"/>
      <c r="F78" s="1"/>
      <c r="G78" s="6" t="str">
        <f t="shared" ref="G78:G141" si="2">IF(C78="","",IF(NOT(ISNUMBER(C78)),"See lab report",IF(AND(ISNUMBER(E78),C78&lt;E78),"Low",IF(AND(ISNUMBER(F78),C78&gt;F78),"High",IF(OR(ISNUMBER(E78),ISNUMBER(F78)),"In range","See lab report")))))</f>
        <v/>
      </c>
      <c r="H78" s="1"/>
      <c r="I78" s="1"/>
      <c r="J78" s="1"/>
      <c r="K78" s="1"/>
    </row>
    <row r="79" spans="1:11">
      <c r="A79" s="3"/>
      <c r="B79" s="1"/>
      <c r="C79" s="1"/>
      <c r="D79" s="1"/>
      <c r="E79" s="1"/>
      <c r="F79" s="1"/>
      <c r="G79" s="6" t="str">
        <f t="shared" si="2"/>
        <v/>
      </c>
      <c r="H79" s="1"/>
      <c r="I79" s="1"/>
      <c r="J79" s="1"/>
      <c r="K79" s="1"/>
    </row>
    <row r="80" spans="1:11">
      <c r="A80" s="3"/>
      <c r="B80" s="1"/>
      <c r="C80" s="1"/>
      <c r="D80" s="1"/>
      <c r="E80" s="1"/>
      <c r="F80" s="1"/>
      <c r="G80" s="6" t="str">
        <f t="shared" si="2"/>
        <v/>
      </c>
      <c r="H80" s="1"/>
      <c r="I80" s="1"/>
      <c r="J80" s="1"/>
      <c r="K80" s="1"/>
    </row>
    <row r="81" spans="1:11">
      <c r="A81" s="3"/>
      <c r="B81" s="1"/>
      <c r="C81" s="1"/>
      <c r="D81" s="1"/>
      <c r="E81" s="1"/>
      <c r="F81" s="1"/>
      <c r="G81" s="6" t="str">
        <f t="shared" si="2"/>
        <v/>
      </c>
      <c r="H81" s="1"/>
      <c r="I81" s="1"/>
      <c r="J81" s="1"/>
      <c r="K81" s="1"/>
    </row>
    <row r="82" spans="1:11">
      <c r="A82" s="3"/>
      <c r="B82" s="1"/>
      <c r="C82" s="1"/>
      <c r="D82" s="1"/>
      <c r="E82" s="1"/>
      <c r="F82" s="1"/>
      <c r="G82" s="6" t="str">
        <f t="shared" si="2"/>
        <v/>
      </c>
      <c r="H82" s="1"/>
      <c r="I82" s="1"/>
      <c r="J82" s="1"/>
      <c r="K82" s="1"/>
    </row>
    <row r="83" spans="1:11">
      <c r="A83" s="3"/>
      <c r="B83" s="1"/>
      <c r="C83" s="1"/>
      <c r="D83" s="1"/>
      <c r="E83" s="1"/>
      <c r="F83" s="1"/>
      <c r="G83" s="6" t="str">
        <f t="shared" si="2"/>
        <v/>
      </c>
      <c r="H83" s="1"/>
      <c r="I83" s="1"/>
      <c r="J83" s="1"/>
      <c r="K83" s="1"/>
    </row>
    <row r="84" spans="1:11">
      <c r="A84" s="3"/>
      <c r="B84" s="1"/>
      <c r="C84" s="1"/>
      <c r="D84" s="1"/>
      <c r="E84" s="1"/>
      <c r="F84" s="1"/>
      <c r="G84" s="6" t="str">
        <f t="shared" si="2"/>
        <v/>
      </c>
      <c r="H84" s="1"/>
      <c r="I84" s="1"/>
      <c r="J84" s="1"/>
      <c r="K84" s="1"/>
    </row>
    <row r="85" spans="1:11">
      <c r="A85" s="3"/>
      <c r="B85" s="1"/>
      <c r="C85" s="1"/>
      <c r="D85" s="1"/>
      <c r="E85" s="1"/>
      <c r="F85" s="1"/>
      <c r="G85" s="6" t="str">
        <f t="shared" si="2"/>
        <v/>
      </c>
      <c r="H85" s="1"/>
      <c r="I85" s="1"/>
      <c r="J85" s="1"/>
      <c r="K85" s="1"/>
    </row>
    <row r="86" spans="1:11">
      <c r="A86" s="3"/>
      <c r="B86" s="1"/>
      <c r="C86" s="1"/>
      <c r="D86" s="1"/>
      <c r="E86" s="1"/>
      <c r="F86" s="1"/>
      <c r="G86" s="6" t="str">
        <f t="shared" si="2"/>
        <v/>
      </c>
      <c r="H86" s="1"/>
      <c r="I86" s="1"/>
      <c r="J86" s="1"/>
      <c r="K86" s="1"/>
    </row>
    <row r="87" spans="1:11">
      <c r="A87" s="3"/>
      <c r="B87" s="1"/>
      <c r="C87" s="1"/>
      <c r="D87" s="1"/>
      <c r="E87" s="1"/>
      <c r="F87" s="1"/>
      <c r="G87" s="6" t="str">
        <f t="shared" si="2"/>
        <v/>
      </c>
      <c r="H87" s="1"/>
      <c r="I87" s="1"/>
      <c r="J87" s="1"/>
      <c r="K87" s="1"/>
    </row>
    <row r="88" spans="1:11">
      <c r="A88" s="3"/>
      <c r="B88" s="1"/>
      <c r="C88" s="1"/>
      <c r="D88" s="1"/>
      <c r="E88" s="1"/>
      <c r="F88" s="1"/>
      <c r="G88" s="6" t="str">
        <f t="shared" si="2"/>
        <v/>
      </c>
      <c r="H88" s="1"/>
      <c r="I88" s="1"/>
      <c r="J88" s="1"/>
      <c r="K88" s="1"/>
    </row>
    <row r="89" spans="1:11">
      <c r="A89" s="3"/>
      <c r="B89" s="1"/>
      <c r="C89" s="1"/>
      <c r="D89" s="1"/>
      <c r="E89" s="1"/>
      <c r="F89" s="1"/>
      <c r="G89" s="6" t="str">
        <f t="shared" si="2"/>
        <v/>
      </c>
      <c r="H89" s="1"/>
      <c r="I89" s="1"/>
      <c r="J89" s="1"/>
      <c r="K89" s="1"/>
    </row>
    <row r="90" spans="1:11">
      <c r="A90" s="3"/>
      <c r="B90" s="1"/>
      <c r="C90" s="1"/>
      <c r="D90" s="1"/>
      <c r="E90" s="1"/>
      <c r="F90" s="1"/>
      <c r="G90" s="6" t="str">
        <f t="shared" si="2"/>
        <v/>
      </c>
      <c r="H90" s="1"/>
      <c r="I90" s="1"/>
      <c r="J90" s="1"/>
      <c r="K90" s="1"/>
    </row>
    <row r="91" spans="1:11">
      <c r="A91" s="3"/>
      <c r="B91" s="1"/>
      <c r="C91" s="1"/>
      <c r="D91" s="1"/>
      <c r="E91" s="1"/>
      <c r="F91" s="1"/>
      <c r="G91" s="6" t="str">
        <f t="shared" si="2"/>
        <v/>
      </c>
      <c r="H91" s="1"/>
      <c r="I91" s="1"/>
      <c r="J91" s="1"/>
      <c r="K91" s="1"/>
    </row>
    <row r="92" spans="1:11">
      <c r="A92" s="3"/>
      <c r="B92" s="1"/>
      <c r="C92" s="1"/>
      <c r="D92" s="1"/>
      <c r="E92" s="1"/>
      <c r="F92" s="1"/>
      <c r="G92" s="6" t="str">
        <f t="shared" si="2"/>
        <v/>
      </c>
      <c r="H92" s="1"/>
      <c r="I92" s="1"/>
      <c r="J92" s="1"/>
      <c r="K92" s="1"/>
    </row>
    <row r="93" spans="1:11">
      <c r="A93" s="3"/>
      <c r="B93" s="1"/>
      <c r="C93" s="1"/>
      <c r="D93" s="1"/>
      <c r="E93" s="1"/>
      <c r="F93" s="1"/>
      <c r="G93" s="6" t="str">
        <f t="shared" si="2"/>
        <v/>
      </c>
      <c r="H93" s="1"/>
      <c r="I93" s="1"/>
      <c r="J93" s="1"/>
      <c r="K93" s="1"/>
    </row>
    <row r="94" spans="1:11">
      <c r="A94" s="3"/>
      <c r="B94" s="1"/>
      <c r="C94" s="1"/>
      <c r="D94" s="1"/>
      <c r="E94" s="1"/>
      <c r="F94" s="1"/>
      <c r="G94" s="6" t="str">
        <f t="shared" si="2"/>
        <v/>
      </c>
      <c r="H94" s="1"/>
      <c r="I94" s="1"/>
      <c r="J94" s="1"/>
      <c r="K94" s="1"/>
    </row>
    <row r="95" spans="1:11">
      <c r="A95" s="3"/>
      <c r="B95" s="1"/>
      <c r="C95" s="1"/>
      <c r="D95" s="1"/>
      <c r="E95" s="1"/>
      <c r="F95" s="1"/>
      <c r="G95" s="6" t="str">
        <f t="shared" si="2"/>
        <v/>
      </c>
      <c r="H95" s="1"/>
      <c r="I95" s="1"/>
      <c r="J95" s="1"/>
      <c r="K95" s="1"/>
    </row>
    <row r="96" spans="1:11">
      <c r="A96" s="3"/>
      <c r="B96" s="1"/>
      <c r="C96" s="1"/>
      <c r="D96" s="1"/>
      <c r="E96" s="1"/>
      <c r="F96" s="1"/>
      <c r="G96" s="6" t="str">
        <f t="shared" si="2"/>
        <v/>
      </c>
      <c r="H96" s="1"/>
      <c r="I96" s="1"/>
      <c r="J96" s="1"/>
      <c r="K96" s="1"/>
    </row>
    <row r="97" spans="1:11">
      <c r="A97" s="3"/>
      <c r="B97" s="1"/>
      <c r="C97" s="1"/>
      <c r="D97" s="1"/>
      <c r="E97" s="1"/>
      <c r="F97" s="1"/>
      <c r="G97" s="6" t="str">
        <f t="shared" si="2"/>
        <v/>
      </c>
      <c r="H97" s="1"/>
      <c r="I97" s="1"/>
      <c r="J97" s="1"/>
      <c r="K97" s="1"/>
    </row>
    <row r="98" spans="1:11">
      <c r="A98" s="3"/>
      <c r="B98" s="1"/>
      <c r="C98" s="1"/>
      <c r="D98" s="1"/>
      <c r="E98" s="1"/>
      <c r="F98" s="1"/>
      <c r="G98" s="6" t="str">
        <f t="shared" si="2"/>
        <v/>
      </c>
      <c r="H98" s="1"/>
      <c r="I98" s="1"/>
      <c r="J98" s="1"/>
      <c r="K98" s="1"/>
    </row>
    <row r="99" spans="1:11">
      <c r="A99" s="3"/>
      <c r="B99" s="1"/>
      <c r="C99" s="1"/>
      <c r="D99" s="1"/>
      <c r="E99" s="1"/>
      <c r="F99" s="1"/>
      <c r="G99" s="6" t="str">
        <f t="shared" si="2"/>
        <v/>
      </c>
      <c r="H99" s="1"/>
      <c r="I99" s="1"/>
      <c r="J99" s="1"/>
      <c r="K99" s="1"/>
    </row>
    <row r="100" spans="1:11">
      <c r="A100" s="3"/>
      <c r="B100" s="1"/>
      <c r="C100" s="1"/>
      <c r="D100" s="1"/>
      <c r="E100" s="1"/>
      <c r="F100" s="1"/>
      <c r="G100" s="6" t="str">
        <f t="shared" si="2"/>
        <v/>
      </c>
      <c r="H100" s="1"/>
      <c r="I100" s="1"/>
      <c r="J100" s="1"/>
      <c r="K100" s="1"/>
    </row>
    <row r="101" spans="1:11">
      <c r="A101" s="3"/>
      <c r="B101" s="1"/>
      <c r="C101" s="1"/>
      <c r="D101" s="1"/>
      <c r="E101" s="1"/>
      <c r="F101" s="1"/>
      <c r="G101" s="6" t="str">
        <f t="shared" si="2"/>
        <v/>
      </c>
      <c r="H101" s="1"/>
      <c r="I101" s="1"/>
      <c r="J101" s="1"/>
      <c r="K101" s="1"/>
    </row>
    <row r="102" spans="1:11">
      <c r="A102" s="3"/>
      <c r="B102" s="1"/>
      <c r="C102" s="1"/>
      <c r="D102" s="1"/>
      <c r="E102" s="1"/>
      <c r="F102" s="1"/>
      <c r="G102" s="6" t="str">
        <f t="shared" si="2"/>
        <v/>
      </c>
      <c r="H102" s="1"/>
      <c r="I102" s="1"/>
      <c r="J102" s="1"/>
      <c r="K102" s="1"/>
    </row>
    <row r="103" spans="1:11">
      <c r="A103" s="3"/>
      <c r="B103" s="1"/>
      <c r="C103" s="1"/>
      <c r="D103" s="1"/>
      <c r="E103" s="1"/>
      <c r="F103" s="1"/>
      <c r="G103" s="6" t="str">
        <f t="shared" si="2"/>
        <v/>
      </c>
      <c r="H103" s="1"/>
      <c r="I103" s="1"/>
      <c r="J103" s="1"/>
      <c r="K103" s="1"/>
    </row>
    <row r="104" spans="1:11">
      <c r="A104" s="3"/>
      <c r="B104" s="1"/>
      <c r="C104" s="1"/>
      <c r="D104" s="1"/>
      <c r="E104" s="1"/>
      <c r="F104" s="1"/>
      <c r="G104" s="6" t="str">
        <f t="shared" si="2"/>
        <v/>
      </c>
      <c r="H104" s="1"/>
      <c r="I104" s="1"/>
      <c r="J104" s="1"/>
      <c r="K104" s="1"/>
    </row>
    <row r="105" spans="1:11">
      <c r="A105" s="3"/>
      <c r="B105" s="1"/>
      <c r="C105" s="1"/>
      <c r="D105" s="1"/>
      <c r="E105" s="1"/>
      <c r="F105" s="1"/>
      <c r="G105" s="6" t="str">
        <f t="shared" si="2"/>
        <v/>
      </c>
      <c r="H105" s="1"/>
      <c r="I105" s="1"/>
      <c r="J105" s="1"/>
      <c r="K105" s="1"/>
    </row>
    <row r="106" spans="1:11">
      <c r="A106" s="3"/>
      <c r="B106" s="1"/>
      <c r="C106" s="1"/>
      <c r="D106" s="1"/>
      <c r="E106" s="1"/>
      <c r="F106" s="1"/>
      <c r="G106" s="6" t="str">
        <f t="shared" si="2"/>
        <v/>
      </c>
      <c r="H106" s="1"/>
      <c r="I106" s="1"/>
      <c r="J106" s="1"/>
      <c r="K106" s="1"/>
    </row>
    <row r="107" spans="1:11">
      <c r="A107" s="3"/>
      <c r="B107" s="1"/>
      <c r="C107" s="1"/>
      <c r="D107" s="1"/>
      <c r="E107" s="1"/>
      <c r="F107" s="1"/>
      <c r="G107" s="6" t="str">
        <f t="shared" si="2"/>
        <v/>
      </c>
      <c r="H107" s="1"/>
      <c r="I107" s="1"/>
      <c r="J107" s="1"/>
      <c r="K107" s="1"/>
    </row>
    <row r="108" spans="1:11">
      <c r="A108" s="3"/>
      <c r="B108" s="1"/>
      <c r="C108" s="1"/>
      <c r="D108" s="1"/>
      <c r="E108" s="1"/>
      <c r="F108" s="1"/>
      <c r="G108" s="6" t="str">
        <f t="shared" si="2"/>
        <v/>
      </c>
      <c r="H108" s="1"/>
      <c r="I108" s="1"/>
      <c r="J108" s="1"/>
      <c r="K108" s="1"/>
    </row>
    <row r="109" spans="1:11">
      <c r="A109" s="3"/>
      <c r="B109" s="1"/>
      <c r="C109" s="1"/>
      <c r="D109" s="1"/>
      <c r="E109" s="1"/>
      <c r="F109" s="1"/>
      <c r="G109" s="6" t="str">
        <f t="shared" si="2"/>
        <v/>
      </c>
      <c r="H109" s="1"/>
      <c r="I109" s="1"/>
      <c r="J109" s="1"/>
      <c r="K109" s="1"/>
    </row>
    <row r="110" spans="1:11">
      <c r="A110" s="3"/>
      <c r="B110" s="1"/>
      <c r="C110" s="1"/>
      <c r="D110" s="1"/>
      <c r="E110" s="1"/>
      <c r="F110" s="1"/>
      <c r="G110" s="6" t="str">
        <f t="shared" si="2"/>
        <v/>
      </c>
      <c r="H110" s="1"/>
      <c r="I110" s="1"/>
      <c r="J110" s="1"/>
      <c r="K110" s="1"/>
    </row>
    <row r="111" spans="1:11">
      <c r="A111" s="3"/>
      <c r="B111" s="1"/>
      <c r="C111" s="1"/>
      <c r="D111" s="1"/>
      <c r="E111" s="1"/>
      <c r="F111" s="1"/>
      <c r="G111" s="6" t="str">
        <f t="shared" si="2"/>
        <v/>
      </c>
      <c r="H111" s="1"/>
      <c r="I111" s="1"/>
      <c r="J111" s="1"/>
      <c r="K111" s="1"/>
    </row>
    <row r="112" spans="1:11">
      <c r="A112" s="3"/>
      <c r="B112" s="1"/>
      <c r="C112" s="1"/>
      <c r="D112" s="1"/>
      <c r="E112" s="1"/>
      <c r="F112" s="1"/>
      <c r="G112" s="6" t="str">
        <f t="shared" si="2"/>
        <v/>
      </c>
      <c r="H112" s="1"/>
      <c r="I112" s="1"/>
      <c r="J112" s="1"/>
      <c r="K112" s="1"/>
    </row>
    <row r="113" spans="1:11">
      <c r="A113" s="3"/>
      <c r="B113" s="1"/>
      <c r="C113" s="1"/>
      <c r="D113" s="1"/>
      <c r="E113" s="1"/>
      <c r="F113" s="1"/>
      <c r="G113" s="6" t="str">
        <f t="shared" si="2"/>
        <v/>
      </c>
      <c r="H113" s="1"/>
      <c r="I113" s="1"/>
      <c r="J113" s="1"/>
      <c r="K113" s="1"/>
    </row>
    <row r="114" spans="1:11">
      <c r="A114" s="3"/>
      <c r="B114" s="1"/>
      <c r="C114" s="1"/>
      <c r="D114" s="1"/>
      <c r="E114" s="1"/>
      <c r="F114" s="1"/>
      <c r="G114" s="6" t="str">
        <f t="shared" si="2"/>
        <v/>
      </c>
      <c r="H114" s="1"/>
      <c r="I114" s="1"/>
      <c r="J114" s="1"/>
      <c r="K114" s="1"/>
    </row>
    <row r="115" spans="1:11">
      <c r="A115" s="3"/>
      <c r="B115" s="1"/>
      <c r="C115" s="1"/>
      <c r="D115" s="1"/>
      <c r="E115" s="1"/>
      <c r="F115" s="1"/>
      <c r="G115" s="6" t="str">
        <f t="shared" si="2"/>
        <v/>
      </c>
      <c r="H115" s="1"/>
      <c r="I115" s="1"/>
      <c r="J115" s="1"/>
      <c r="K115" s="1"/>
    </row>
    <row r="116" spans="1:11">
      <c r="A116" s="3"/>
      <c r="B116" s="1"/>
      <c r="C116" s="1"/>
      <c r="D116" s="1"/>
      <c r="E116" s="1"/>
      <c r="F116" s="1"/>
      <c r="G116" s="6" t="str">
        <f t="shared" si="2"/>
        <v/>
      </c>
      <c r="H116" s="1"/>
      <c r="I116" s="1"/>
      <c r="J116" s="1"/>
      <c r="K116" s="1"/>
    </row>
    <row r="117" spans="1:11">
      <c r="A117" s="3"/>
      <c r="B117" s="1"/>
      <c r="C117" s="1"/>
      <c r="D117" s="1"/>
      <c r="E117" s="1"/>
      <c r="F117" s="1"/>
      <c r="G117" s="6" t="str">
        <f t="shared" si="2"/>
        <v/>
      </c>
      <c r="H117" s="1"/>
      <c r="I117" s="1"/>
      <c r="J117" s="1"/>
      <c r="K117" s="1"/>
    </row>
    <row r="118" spans="1:11">
      <c r="A118" s="3"/>
      <c r="B118" s="1"/>
      <c r="C118" s="1"/>
      <c r="D118" s="1"/>
      <c r="E118" s="1"/>
      <c r="F118" s="1"/>
      <c r="G118" s="6" t="str">
        <f t="shared" si="2"/>
        <v/>
      </c>
      <c r="H118" s="1"/>
      <c r="I118" s="1"/>
      <c r="J118" s="1"/>
      <c r="K118" s="1"/>
    </row>
    <row r="119" spans="1:11">
      <c r="A119" s="3"/>
      <c r="B119" s="1"/>
      <c r="C119" s="1"/>
      <c r="D119" s="1"/>
      <c r="E119" s="1"/>
      <c r="F119" s="1"/>
      <c r="G119" s="6" t="str">
        <f t="shared" si="2"/>
        <v/>
      </c>
      <c r="H119" s="1"/>
      <c r="I119" s="1"/>
      <c r="J119" s="1"/>
      <c r="K119" s="1"/>
    </row>
    <row r="120" spans="1:11">
      <c r="A120" s="3"/>
      <c r="B120" s="1"/>
      <c r="C120" s="1"/>
      <c r="D120" s="1"/>
      <c r="E120" s="1"/>
      <c r="F120" s="1"/>
      <c r="G120" s="6" t="str">
        <f t="shared" si="2"/>
        <v/>
      </c>
      <c r="H120" s="1"/>
      <c r="I120" s="1"/>
      <c r="J120" s="1"/>
      <c r="K120" s="1"/>
    </row>
    <row r="121" spans="1:11">
      <c r="A121" s="3"/>
      <c r="B121" s="1"/>
      <c r="C121" s="1"/>
      <c r="D121" s="1"/>
      <c r="E121" s="1"/>
      <c r="F121" s="1"/>
      <c r="G121" s="6" t="str">
        <f t="shared" si="2"/>
        <v/>
      </c>
      <c r="H121" s="1"/>
      <c r="I121" s="1"/>
      <c r="J121" s="1"/>
      <c r="K121" s="1"/>
    </row>
    <row r="122" spans="1:11">
      <c r="A122" s="3"/>
      <c r="B122" s="1"/>
      <c r="C122" s="1"/>
      <c r="D122" s="1"/>
      <c r="E122" s="1"/>
      <c r="F122" s="1"/>
      <c r="G122" s="6" t="str">
        <f t="shared" si="2"/>
        <v/>
      </c>
      <c r="H122" s="1"/>
      <c r="I122" s="1"/>
      <c r="J122" s="1"/>
      <c r="K122" s="1"/>
    </row>
    <row r="123" spans="1:11">
      <c r="A123" s="3"/>
      <c r="B123" s="1"/>
      <c r="C123" s="1"/>
      <c r="D123" s="1"/>
      <c r="E123" s="1"/>
      <c r="F123" s="1"/>
      <c r="G123" s="6" t="str">
        <f t="shared" si="2"/>
        <v/>
      </c>
      <c r="H123" s="1"/>
      <c r="I123" s="1"/>
      <c r="J123" s="1"/>
      <c r="K123" s="1"/>
    </row>
    <row r="124" spans="1:11">
      <c r="A124" s="3"/>
      <c r="B124" s="1"/>
      <c r="C124" s="1"/>
      <c r="D124" s="1"/>
      <c r="E124" s="1"/>
      <c r="F124" s="1"/>
      <c r="G124" s="6" t="str">
        <f t="shared" si="2"/>
        <v/>
      </c>
      <c r="H124" s="1"/>
      <c r="I124" s="1"/>
      <c r="J124" s="1"/>
      <c r="K124" s="1"/>
    </row>
    <row r="125" spans="1:11">
      <c r="A125" s="3"/>
      <c r="B125" s="1"/>
      <c r="C125" s="1"/>
      <c r="D125" s="1"/>
      <c r="E125" s="1"/>
      <c r="F125" s="1"/>
      <c r="G125" s="6" t="str">
        <f t="shared" si="2"/>
        <v/>
      </c>
      <c r="H125" s="1"/>
      <c r="I125" s="1"/>
      <c r="J125" s="1"/>
      <c r="K125" s="1"/>
    </row>
    <row r="126" spans="1:11">
      <c r="A126" s="3"/>
      <c r="B126" s="1"/>
      <c r="C126" s="1"/>
      <c r="D126" s="1"/>
      <c r="E126" s="1"/>
      <c r="F126" s="1"/>
      <c r="G126" s="6" t="str">
        <f t="shared" si="2"/>
        <v/>
      </c>
      <c r="H126" s="1"/>
      <c r="I126" s="1"/>
      <c r="J126" s="1"/>
      <c r="K126" s="1"/>
    </row>
    <row r="127" spans="1:11">
      <c r="A127" s="3"/>
      <c r="B127" s="1"/>
      <c r="C127" s="1"/>
      <c r="D127" s="1"/>
      <c r="E127" s="1"/>
      <c r="F127" s="1"/>
      <c r="G127" s="6" t="str">
        <f t="shared" si="2"/>
        <v/>
      </c>
      <c r="H127" s="1"/>
      <c r="I127" s="1"/>
      <c r="J127" s="1"/>
      <c r="K127" s="1"/>
    </row>
    <row r="128" spans="1:11">
      <c r="A128" s="3"/>
      <c r="B128" s="1"/>
      <c r="C128" s="1"/>
      <c r="D128" s="1"/>
      <c r="E128" s="1"/>
      <c r="F128" s="1"/>
      <c r="G128" s="6" t="str">
        <f t="shared" si="2"/>
        <v/>
      </c>
      <c r="H128" s="1"/>
      <c r="I128" s="1"/>
      <c r="J128" s="1"/>
      <c r="K128" s="1"/>
    </row>
    <row r="129" spans="1:11">
      <c r="A129" s="3"/>
      <c r="B129" s="1"/>
      <c r="C129" s="1"/>
      <c r="D129" s="1"/>
      <c r="E129" s="1"/>
      <c r="F129" s="1"/>
      <c r="G129" s="6" t="str">
        <f t="shared" si="2"/>
        <v/>
      </c>
      <c r="H129" s="1"/>
      <c r="I129" s="1"/>
      <c r="J129" s="1"/>
      <c r="K129" s="1"/>
    </row>
    <row r="130" spans="1:11">
      <c r="A130" s="3"/>
      <c r="B130" s="1"/>
      <c r="C130" s="1"/>
      <c r="D130" s="1"/>
      <c r="E130" s="1"/>
      <c r="F130" s="1"/>
      <c r="G130" s="6" t="str">
        <f t="shared" si="2"/>
        <v/>
      </c>
      <c r="H130" s="1"/>
      <c r="I130" s="1"/>
      <c r="J130" s="1"/>
      <c r="K130" s="1"/>
    </row>
    <row r="131" spans="1:11">
      <c r="A131" s="3"/>
      <c r="B131" s="1"/>
      <c r="C131" s="1"/>
      <c r="D131" s="1"/>
      <c r="E131" s="1"/>
      <c r="F131" s="1"/>
      <c r="G131" s="6" t="str">
        <f t="shared" si="2"/>
        <v/>
      </c>
      <c r="H131" s="1"/>
      <c r="I131" s="1"/>
      <c r="J131" s="1"/>
      <c r="K131" s="1"/>
    </row>
    <row r="132" spans="1:11">
      <c r="A132" s="3"/>
      <c r="B132" s="1"/>
      <c r="C132" s="1"/>
      <c r="D132" s="1"/>
      <c r="E132" s="1"/>
      <c r="F132" s="1"/>
      <c r="G132" s="6" t="str">
        <f t="shared" si="2"/>
        <v/>
      </c>
      <c r="H132" s="1"/>
      <c r="I132" s="1"/>
      <c r="J132" s="1"/>
      <c r="K132" s="1"/>
    </row>
    <row r="133" spans="1:11">
      <c r="A133" s="3"/>
      <c r="B133" s="1"/>
      <c r="C133" s="1"/>
      <c r="D133" s="1"/>
      <c r="E133" s="1"/>
      <c r="F133" s="1"/>
      <c r="G133" s="6" t="str">
        <f t="shared" si="2"/>
        <v/>
      </c>
      <c r="H133" s="1"/>
      <c r="I133" s="1"/>
      <c r="J133" s="1"/>
      <c r="K133" s="1"/>
    </row>
    <row r="134" spans="1:11">
      <c r="A134" s="3"/>
      <c r="B134" s="1"/>
      <c r="C134" s="1"/>
      <c r="D134" s="1"/>
      <c r="E134" s="1"/>
      <c r="F134" s="1"/>
      <c r="G134" s="6" t="str">
        <f t="shared" si="2"/>
        <v/>
      </c>
      <c r="H134" s="1"/>
      <c r="I134" s="1"/>
      <c r="J134" s="1"/>
      <c r="K134" s="1"/>
    </row>
    <row r="135" spans="1:11">
      <c r="A135" s="3"/>
      <c r="B135" s="1"/>
      <c r="C135" s="1"/>
      <c r="D135" s="1"/>
      <c r="E135" s="1"/>
      <c r="F135" s="1"/>
      <c r="G135" s="6" t="str">
        <f t="shared" si="2"/>
        <v/>
      </c>
      <c r="H135" s="1"/>
      <c r="I135" s="1"/>
      <c r="J135" s="1"/>
      <c r="K135" s="1"/>
    </row>
    <row r="136" spans="1:11">
      <c r="A136" s="3"/>
      <c r="B136" s="1"/>
      <c r="C136" s="1"/>
      <c r="D136" s="1"/>
      <c r="E136" s="1"/>
      <c r="F136" s="1"/>
      <c r="G136" s="6" t="str">
        <f t="shared" si="2"/>
        <v/>
      </c>
      <c r="H136" s="1"/>
      <c r="I136" s="1"/>
      <c r="J136" s="1"/>
      <c r="K136" s="1"/>
    </row>
    <row r="137" spans="1:11">
      <c r="A137" s="3"/>
      <c r="B137" s="1"/>
      <c r="C137" s="1"/>
      <c r="D137" s="1"/>
      <c r="E137" s="1"/>
      <c r="F137" s="1"/>
      <c r="G137" s="6" t="str">
        <f t="shared" si="2"/>
        <v/>
      </c>
      <c r="H137" s="1"/>
      <c r="I137" s="1"/>
      <c r="J137" s="1"/>
      <c r="K137" s="1"/>
    </row>
    <row r="138" spans="1:11">
      <c r="A138" s="3"/>
      <c r="B138" s="1"/>
      <c r="C138" s="1"/>
      <c r="D138" s="1"/>
      <c r="E138" s="1"/>
      <c r="F138" s="1"/>
      <c r="G138" s="6" t="str">
        <f t="shared" si="2"/>
        <v/>
      </c>
      <c r="H138" s="1"/>
      <c r="I138" s="1"/>
      <c r="J138" s="1"/>
      <c r="K138" s="1"/>
    </row>
    <row r="139" spans="1:11">
      <c r="A139" s="3"/>
      <c r="B139" s="1"/>
      <c r="C139" s="1"/>
      <c r="D139" s="1"/>
      <c r="E139" s="1"/>
      <c r="F139" s="1"/>
      <c r="G139" s="6" t="str">
        <f t="shared" si="2"/>
        <v/>
      </c>
      <c r="H139" s="1"/>
      <c r="I139" s="1"/>
      <c r="J139" s="1"/>
      <c r="K139" s="1"/>
    </row>
    <row r="140" spans="1:11">
      <c r="A140" s="3"/>
      <c r="B140" s="1"/>
      <c r="C140" s="1"/>
      <c r="D140" s="1"/>
      <c r="E140" s="1"/>
      <c r="F140" s="1"/>
      <c r="G140" s="6" t="str">
        <f t="shared" si="2"/>
        <v/>
      </c>
      <c r="H140" s="1"/>
      <c r="I140" s="1"/>
      <c r="J140" s="1"/>
      <c r="K140" s="1"/>
    </row>
    <row r="141" spans="1:11">
      <c r="A141" s="3"/>
      <c r="B141" s="1"/>
      <c r="C141" s="1"/>
      <c r="D141" s="1"/>
      <c r="E141" s="1"/>
      <c r="F141" s="1"/>
      <c r="G141" s="6" t="str">
        <f t="shared" si="2"/>
        <v/>
      </c>
      <c r="H141" s="1"/>
      <c r="I141" s="1"/>
      <c r="J141" s="1"/>
      <c r="K141" s="1"/>
    </row>
    <row r="142" spans="1:11">
      <c r="A142" s="3"/>
      <c r="B142" s="1"/>
      <c r="C142" s="1"/>
      <c r="D142" s="1"/>
      <c r="E142" s="1"/>
      <c r="F142" s="1"/>
      <c r="G142" s="6" t="str">
        <f t="shared" ref="G142:G205" si="3">IF(C142="","",IF(NOT(ISNUMBER(C142)),"See lab report",IF(AND(ISNUMBER(E142),C142&lt;E142),"Low",IF(AND(ISNUMBER(F142),C142&gt;F142),"High",IF(OR(ISNUMBER(E142),ISNUMBER(F142)),"In range","See lab report")))))</f>
        <v/>
      </c>
      <c r="H142" s="1"/>
      <c r="I142" s="1"/>
      <c r="J142" s="1"/>
      <c r="K142" s="1"/>
    </row>
    <row r="143" spans="1:11">
      <c r="A143" s="3"/>
      <c r="B143" s="1"/>
      <c r="C143" s="1"/>
      <c r="D143" s="1"/>
      <c r="E143" s="1"/>
      <c r="F143" s="1"/>
      <c r="G143" s="6" t="str">
        <f t="shared" si="3"/>
        <v/>
      </c>
      <c r="H143" s="1"/>
      <c r="I143" s="1"/>
      <c r="J143" s="1"/>
      <c r="K143" s="1"/>
    </row>
    <row r="144" spans="1:11">
      <c r="A144" s="3"/>
      <c r="B144" s="1"/>
      <c r="C144" s="1"/>
      <c r="D144" s="1"/>
      <c r="E144" s="1"/>
      <c r="F144" s="1"/>
      <c r="G144" s="6" t="str">
        <f t="shared" si="3"/>
        <v/>
      </c>
      <c r="H144" s="1"/>
      <c r="I144" s="1"/>
      <c r="J144" s="1"/>
      <c r="K144" s="1"/>
    </row>
    <row r="145" spans="1:11">
      <c r="A145" s="3"/>
      <c r="B145" s="1"/>
      <c r="C145" s="1"/>
      <c r="D145" s="1"/>
      <c r="E145" s="1"/>
      <c r="F145" s="1"/>
      <c r="G145" s="6" t="str">
        <f t="shared" si="3"/>
        <v/>
      </c>
      <c r="H145" s="1"/>
      <c r="I145" s="1"/>
      <c r="J145" s="1"/>
      <c r="K145" s="1"/>
    </row>
    <row r="146" spans="1:11">
      <c r="A146" s="3"/>
      <c r="B146" s="1"/>
      <c r="C146" s="1"/>
      <c r="D146" s="1"/>
      <c r="E146" s="1"/>
      <c r="F146" s="1"/>
      <c r="G146" s="6" t="str">
        <f t="shared" si="3"/>
        <v/>
      </c>
      <c r="H146" s="1"/>
      <c r="I146" s="1"/>
      <c r="J146" s="1"/>
      <c r="K146" s="1"/>
    </row>
    <row r="147" spans="1:11">
      <c r="A147" s="3"/>
      <c r="B147" s="1"/>
      <c r="C147" s="1"/>
      <c r="D147" s="1"/>
      <c r="E147" s="1"/>
      <c r="F147" s="1"/>
      <c r="G147" s="6" t="str">
        <f t="shared" si="3"/>
        <v/>
      </c>
      <c r="H147" s="1"/>
      <c r="I147" s="1"/>
      <c r="J147" s="1"/>
      <c r="K147" s="1"/>
    </row>
    <row r="148" spans="1:11">
      <c r="A148" s="3"/>
      <c r="B148" s="1"/>
      <c r="C148" s="1"/>
      <c r="D148" s="1"/>
      <c r="E148" s="1"/>
      <c r="F148" s="1"/>
      <c r="G148" s="6" t="str">
        <f t="shared" si="3"/>
        <v/>
      </c>
      <c r="H148" s="1"/>
      <c r="I148" s="1"/>
      <c r="J148" s="1"/>
      <c r="K148" s="1"/>
    </row>
    <row r="149" spans="1:11">
      <c r="A149" s="3"/>
      <c r="B149" s="1"/>
      <c r="C149" s="1"/>
      <c r="D149" s="1"/>
      <c r="E149" s="1"/>
      <c r="F149" s="1"/>
      <c r="G149" s="6" t="str">
        <f t="shared" si="3"/>
        <v/>
      </c>
      <c r="H149" s="1"/>
      <c r="I149" s="1"/>
      <c r="J149" s="1"/>
      <c r="K149" s="1"/>
    </row>
    <row r="150" spans="1:11">
      <c r="A150" s="3"/>
      <c r="B150" s="1"/>
      <c r="C150" s="1"/>
      <c r="D150" s="1"/>
      <c r="E150" s="1"/>
      <c r="F150" s="1"/>
      <c r="G150" s="6" t="str">
        <f t="shared" si="3"/>
        <v/>
      </c>
      <c r="H150" s="1"/>
      <c r="I150" s="1"/>
      <c r="J150" s="1"/>
      <c r="K150" s="1"/>
    </row>
    <row r="151" spans="1:11">
      <c r="A151" s="3"/>
      <c r="B151" s="1"/>
      <c r="C151" s="1"/>
      <c r="D151" s="1"/>
      <c r="E151" s="1"/>
      <c r="F151" s="1"/>
      <c r="G151" s="6" t="str">
        <f t="shared" si="3"/>
        <v/>
      </c>
      <c r="H151" s="1"/>
      <c r="I151" s="1"/>
      <c r="J151" s="1"/>
      <c r="K151" s="1"/>
    </row>
    <row r="152" spans="1:11">
      <c r="A152" s="3"/>
      <c r="B152" s="1"/>
      <c r="C152" s="1"/>
      <c r="D152" s="1"/>
      <c r="E152" s="1"/>
      <c r="F152" s="1"/>
      <c r="G152" s="6" t="str">
        <f t="shared" si="3"/>
        <v/>
      </c>
      <c r="H152" s="1"/>
      <c r="I152" s="1"/>
      <c r="J152" s="1"/>
      <c r="K152" s="1"/>
    </row>
    <row r="153" spans="1:11">
      <c r="A153" s="3"/>
      <c r="B153" s="1"/>
      <c r="C153" s="1"/>
      <c r="D153" s="1"/>
      <c r="E153" s="1"/>
      <c r="F153" s="1"/>
      <c r="G153" s="6" t="str">
        <f t="shared" si="3"/>
        <v/>
      </c>
      <c r="H153" s="1"/>
      <c r="I153" s="1"/>
      <c r="J153" s="1"/>
      <c r="K153" s="1"/>
    </row>
    <row r="154" spans="1:11">
      <c r="A154" s="3"/>
      <c r="B154" s="1"/>
      <c r="C154" s="1"/>
      <c r="D154" s="1"/>
      <c r="E154" s="1"/>
      <c r="F154" s="1"/>
      <c r="G154" s="6" t="str">
        <f t="shared" si="3"/>
        <v/>
      </c>
      <c r="H154" s="1"/>
      <c r="I154" s="1"/>
      <c r="J154" s="1"/>
      <c r="K154" s="1"/>
    </row>
    <row r="155" spans="1:11">
      <c r="A155" s="3"/>
      <c r="B155" s="1"/>
      <c r="C155" s="1"/>
      <c r="D155" s="1"/>
      <c r="E155" s="1"/>
      <c r="F155" s="1"/>
      <c r="G155" s="6" t="str">
        <f t="shared" si="3"/>
        <v/>
      </c>
      <c r="H155" s="1"/>
      <c r="I155" s="1"/>
      <c r="J155" s="1"/>
      <c r="K155" s="1"/>
    </row>
    <row r="156" spans="1:11">
      <c r="A156" s="3"/>
      <c r="B156" s="1"/>
      <c r="C156" s="1"/>
      <c r="D156" s="1"/>
      <c r="E156" s="1"/>
      <c r="F156" s="1"/>
      <c r="G156" s="6" t="str">
        <f t="shared" si="3"/>
        <v/>
      </c>
      <c r="H156" s="1"/>
      <c r="I156" s="1"/>
      <c r="J156" s="1"/>
      <c r="K156" s="1"/>
    </row>
    <row r="157" spans="1:11">
      <c r="A157" s="3"/>
      <c r="B157" s="1"/>
      <c r="C157" s="1"/>
      <c r="D157" s="1"/>
      <c r="E157" s="1"/>
      <c r="F157" s="1"/>
      <c r="G157" s="6" t="str">
        <f t="shared" si="3"/>
        <v/>
      </c>
      <c r="H157" s="1"/>
      <c r="I157" s="1"/>
      <c r="J157" s="1"/>
      <c r="K157" s="1"/>
    </row>
    <row r="158" spans="1:11">
      <c r="A158" s="3"/>
      <c r="B158" s="1"/>
      <c r="C158" s="1"/>
      <c r="D158" s="1"/>
      <c r="E158" s="1"/>
      <c r="F158" s="1"/>
      <c r="G158" s="6" t="str">
        <f t="shared" si="3"/>
        <v/>
      </c>
      <c r="H158" s="1"/>
      <c r="I158" s="1"/>
      <c r="J158" s="1"/>
      <c r="K158" s="1"/>
    </row>
    <row r="159" spans="1:11">
      <c r="A159" s="3"/>
      <c r="B159" s="1"/>
      <c r="C159" s="1"/>
      <c r="D159" s="1"/>
      <c r="E159" s="1"/>
      <c r="F159" s="1"/>
      <c r="G159" s="6" t="str">
        <f t="shared" si="3"/>
        <v/>
      </c>
      <c r="H159" s="1"/>
      <c r="I159" s="1"/>
      <c r="J159" s="1"/>
      <c r="K159" s="1"/>
    </row>
    <row r="160" spans="1:11">
      <c r="A160" s="3"/>
      <c r="B160" s="1"/>
      <c r="C160" s="1"/>
      <c r="D160" s="1"/>
      <c r="E160" s="1"/>
      <c r="F160" s="1"/>
      <c r="G160" s="6" t="str">
        <f t="shared" si="3"/>
        <v/>
      </c>
      <c r="H160" s="1"/>
      <c r="I160" s="1"/>
      <c r="J160" s="1"/>
      <c r="K160" s="1"/>
    </row>
    <row r="161" spans="1:11">
      <c r="A161" s="3"/>
      <c r="B161" s="1"/>
      <c r="C161" s="1"/>
      <c r="D161" s="1"/>
      <c r="E161" s="1"/>
      <c r="F161" s="1"/>
      <c r="G161" s="6" t="str">
        <f t="shared" si="3"/>
        <v/>
      </c>
      <c r="H161" s="1"/>
      <c r="I161" s="1"/>
      <c r="J161" s="1"/>
      <c r="K161" s="1"/>
    </row>
    <row r="162" spans="1:11">
      <c r="A162" s="3"/>
      <c r="B162" s="1"/>
      <c r="C162" s="1"/>
      <c r="D162" s="1"/>
      <c r="E162" s="1"/>
      <c r="F162" s="1"/>
      <c r="G162" s="6" t="str">
        <f t="shared" si="3"/>
        <v/>
      </c>
      <c r="H162" s="1"/>
      <c r="I162" s="1"/>
      <c r="J162" s="1"/>
      <c r="K162" s="1"/>
    </row>
    <row r="163" spans="1:11">
      <c r="A163" s="3"/>
      <c r="B163" s="1"/>
      <c r="C163" s="1"/>
      <c r="D163" s="1"/>
      <c r="E163" s="1"/>
      <c r="F163" s="1"/>
      <c r="G163" s="6" t="str">
        <f t="shared" si="3"/>
        <v/>
      </c>
      <c r="H163" s="1"/>
      <c r="I163" s="1"/>
      <c r="J163" s="1"/>
      <c r="K163" s="1"/>
    </row>
    <row r="164" spans="1:11">
      <c r="A164" s="3"/>
      <c r="B164" s="1"/>
      <c r="C164" s="1"/>
      <c r="D164" s="1"/>
      <c r="E164" s="1"/>
      <c r="F164" s="1"/>
      <c r="G164" s="6" t="str">
        <f t="shared" si="3"/>
        <v/>
      </c>
      <c r="H164" s="1"/>
      <c r="I164" s="1"/>
      <c r="J164" s="1"/>
      <c r="K164" s="1"/>
    </row>
    <row r="165" spans="1:11">
      <c r="A165" s="3"/>
      <c r="B165" s="1"/>
      <c r="C165" s="1"/>
      <c r="D165" s="1"/>
      <c r="E165" s="1"/>
      <c r="F165" s="1"/>
      <c r="G165" s="6" t="str">
        <f t="shared" si="3"/>
        <v/>
      </c>
      <c r="H165" s="1"/>
      <c r="I165" s="1"/>
      <c r="J165" s="1"/>
      <c r="K165" s="1"/>
    </row>
    <row r="166" spans="1:11">
      <c r="A166" s="3"/>
      <c r="B166" s="1"/>
      <c r="C166" s="1"/>
      <c r="D166" s="1"/>
      <c r="E166" s="1"/>
      <c r="F166" s="1"/>
      <c r="G166" s="6" t="str">
        <f t="shared" si="3"/>
        <v/>
      </c>
      <c r="H166" s="1"/>
      <c r="I166" s="1"/>
      <c r="J166" s="1"/>
      <c r="K166" s="1"/>
    </row>
    <row r="167" spans="1:11">
      <c r="A167" s="3"/>
      <c r="B167" s="1"/>
      <c r="C167" s="1"/>
      <c r="D167" s="1"/>
      <c r="E167" s="1"/>
      <c r="F167" s="1"/>
      <c r="G167" s="6" t="str">
        <f t="shared" si="3"/>
        <v/>
      </c>
      <c r="H167" s="1"/>
      <c r="I167" s="1"/>
      <c r="J167" s="1"/>
      <c r="K167" s="1"/>
    </row>
    <row r="168" spans="1:11">
      <c r="A168" s="3"/>
      <c r="B168" s="1"/>
      <c r="C168" s="1"/>
      <c r="D168" s="1"/>
      <c r="E168" s="1"/>
      <c r="F168" s="1"/>
      <c r="G168" s="6" t="str">
        <f t="shared" si="3"/>
        <v/>
      </c>
      <c r="H168" s="1"/>
      <c r="I168" s="1"/>
      <c r="J168" s="1"/>
      <c r="K168" s="1"/>
    </row>
    <row r="169" spans="1:11">
      <c r="A169" s="3"/>
      <c r="B169" s="1"/>
      <c r="C169" s="1"/>
      <c r="D169" s="1"/>
      <c r="E169" s="1"/>
      <c r="F169" s="1"/>
      <c r="G169" s="6" t="str">
        <f t="shared" si="3"/>
        <v/>
      </c>
      <c r="H169" s="1"/>
      <c r="I169" s="1"/>
      <c r="J169" s="1"/>
      <c r="K169" s="1"/>
    </row>
    <row r="170" spans="1:11">
      <c r="A170" s="3"/>
      <c r="B170" s="1"/>
      <c r="C170" s="1"/>
      <c r="D170" s="1"/>
      <c r="E170" s="1"/>
      <c r="F170" s="1"/>
      <c r="G170" s="6" t="str">
        <f t="shared" si="3"/>
        <v/>
      </c>
      <c r="H170" s="1"/>
      <c r="I170" s="1"/>
      <c r="J170" s="1"/>
      <c r="K170" s="1"/>
    </row>
    <row r="171" spans="1:11">
      <c r="A171" s="3"/>
      <c r="B171" s="1"/>
      <c r="C171" s="1"/>
      <c r="D171" s="1"/>
      <c r="E171" s="1"/>
      <c r="F171" s="1"/>
      <c r="G171" s="6" t="str">
        <f t="shared" si="3"/>
        <v/>
      </c>
      <c r="H171" s="1"/>
      <c r="I171" s="1"/>
      <c r="J171" s="1"/>
      <c r="K171" s="1"/>
    </row>
    <row r="172" spans="1:11">
      <c r="A172" s="3"/>
      <c r="B172" s="1"/>
      <c r="C172" s="1"/>
      <c r="D172" s="1"/>
      <c r="E172" s="1"/>
      <c r="F172" s="1"/>
      <c r="G172" s="6" t="str">
        <f t="shared" si="3"/>
        <v/>
      </c>
      <c r="H172" s="1"/>
      <c r="I172" s="1"/>
      <c r="J172" s="1"/>
      <c r="K172" s="1"/>
    </row>
    <row r="173" spans="1:11">
      <c r="A173" s="3"/>
      <c r="B173" s="1"/>
      <c r="C173" s="1"/>
      <c r="D173" s="1"/>
      <c r="E173" s="1"/>
      <c r="F173" s="1"/>
      <c r="G173" s="6" t="str">
        <f t="shared" si="3"/>
        <v/>
      </c>
      <c r="H173" s="1"/>
      <c r="I173" s="1"/>
      <c r="J173" s="1"/>
      <c r="K173" s="1"/>
    </row>
    <row r="174" spans="1:11">
      <c r="A174" s="3"/>
      <c r="B174" s="1"/>
      <c r="C174" s="1"/>
      <c r="D174" s="1"/>
      <c r="E174" s="1"/>
      <c r="F174" s="1"/>
      <c r="G174" s="6" t="str">
        <f t="shared" si="3"/>
        <v/>
      </c>
      <c r="H174" s="1"/>
      <c r="I174" s="1"/>
      <c r="J174" s="1"/>
      <c r="K174" s="1"/>
    </row>
    <row r="175" spans="1:11">
      <c r="A175" s="3"/>
      <c r="B175" s="1"/>
      <c r="C175" s="1"/>
      <c r="D175" s="1"/>
      <c r="E175" s="1"/>
      <c r="F175" s="1"/>
      <c r="G175" s="6" t="str">
        <f t="shared" si="3"/>
        <v/>
      </c>
      <c r="H175" s="1"/>
      <c r="I175" s="1"/>
      <c r="J175" s="1"/>
      <c r="K175" s="1"/>
    </row>
    <row r="176" spans="1:11">
      <c r="A176" s="3"/>
      <c r="B176" s="1"/>
      <c r="C176" s="1"/>
      <c r="D176" s="1"/>
      <c r="E176" s="1"/>
      <c r="F176" s="1"/>
      <c r="G176" s="6" t="str">
        <f t="shared" si="3"/>
        <v/>
      </c>
      <c r="H176" s="1"/>
      <c r="I176" s="1"/>
      <c r="J176" s="1"/>
      <c r="K176" s="1"/>
    </row>
    <row r="177" spans="1:11">
      <c r="A177" s="3"/>
      <c r="B177" s="1"/>
      <c r="C177" s="1"/>
      <c r="D177" s="1"/>
      <c r="E177" s="1"/>
      <c r="F177" s="1"/>
      <c r="G177" s="6" t="str">
        <f t="shared" si="3"/>
        <v/>
      </c>
      <c r="H177" s="1"/>
      <c r="I177" s="1"/>
      <c r="J177" s="1"/>
      <c r="K177" s="1"/>
    </row>
    <row r="178" spans="1:11">
      <c r="A178" s="3"/>
      <c r="B178" s="1"/>
      <c r="C178" s="1"/>
      <c r="D178" s="1"/>
      <c r="E178" s="1"/>
      <c r="F178" s="1"/>
      <c r="G178" s="6" t="str">
        <f t="shared" si="3"/>
        <v/>
      </c>
      <c r="H178" s="1"/>
      <c r="I178" s="1"/>
      <c r="J178" s="1"/>
      <c r="K178" s="1"/>
    </row>
    <row r="179" spans="1:11">
      <c r="A179" s="3"/>
      <c r="B179" s="1"/>
      <c r="C179" s="1"/>
      <c r="D179" s="1"/>
      <c r="E179" s="1"/>
      <c r="F179" s="1"/>
      <c r="G179" s="6" t="str">
        <f t="shared" si="3"/>
        <v/>
      </c>
      <c r="H179" s="1"/>
      <c r="I179" s="1"/>
      <c r="J179" s="1"/>
      <c r="K179" s="1"/>
    </row>
    <row r="180" spans="1:11">
      <c r="A180" s="3"/>
      <c r="B180" s="1"/>
      <c r="C180" s="1"/>
      <c r="D180" s="1"/>
      <c r="E180" s="1"/>
      <c r="F180" s="1"/>
      <c r="G180" s="6" t="str">
        <f t="shared" si="3"/>
        <v/>
      </c>
      <c r="H180" s="1"/>
      <c r="I180" s="1"/>
      <c r="J180" s="1"/>
      <c r="K180" s="1"/>
    </row>
    <row r="181" spans="1:11">
      <c r="A181" s="3"/>
      <c r="B181" s="1"/>
      <c r="C181" s="1"/>
      <c r="D181" s="1"/>
      <c r="E181" s="1"/>
      <c r="F181" s="1"/>
      <c r="G181" s="6" t="str">
        <f t="shared" si="3"/>
        <v/>
      </c>
      <c r="H181" s="1"/>
      <c r="I181" s="1"/>
      <c r="J181" s="1"/>
      <c r="K181" s="1"/>
    </row>
    <row r="182" spans="1:11">
      <c r="A182" s="3"/>
      <c r="B182" s="1"/>
      <c r="C182" s="1"/>
      <c r="D182" s="1"/>
      <c r="E182" s="1"/>
      <c r="F182" s="1"/>
      <c r="G182" s="6" t="str">
        <f t="shared" si="3"/>
        <v/>
      </c>
      <c r="H182" s="1"/>
      <c r="I182" s="1"/>
      <c r="J182" s="1"/>
      <c r="K182" s="1"/>
    </row>
    <row r="183" spans="1:11">
      <c r="A183" s="3"/>
      <c r="B183" s="1"/>
      <c r="C183" s="1"/>
      <c r="D183" s="1"/>
      <c r="E183" s="1"/>
      <c r="F183" s="1"/>
      <c r="G183" s="6" t="str">
        <f t="shared" si="3"/>
        <v/>
      </c>
      <c r="H183" s="1"/>
      <c r="I183" s="1"/>
      <c r="J183" s="1"/>
      <c r="K183" s="1"/>
    </row>
    <row r="184" spans="1:11">
      <c r="A184" s="3"/>
      <c r="B184" s="1"/>
      <c r="C184" s="1"/>
      <c r="D184" s="1"/>
      <c r="E184" s="1"/>
      <c r="F184" s="1"/>
      <c r="G184" s="6" t="str">
        <f t="shared" si="3"/>
        <v/>
      </c>
      <c r="H184" s="1"/>
      <c r="I184" s="1"/>
      <c r="J184" s="1"/>
      <c r="K184" s="1"/>
    </row>
    <row r="185" spans="1:11">
      <c r="A185" s="3"/>
      <c r="B185" s="1"/>
      <c r="C185" s="1"/>
      <c r="D185" s="1"/>
      <c r="E185" s="1"/>
      <c r="F185" s="1"/>
      <c r="G185" s="6" t="str">
        <f t="shared" si="3"/>
        <v/>
      </c>
      <c r="H185" s="1"/>
      <c r="I185" s="1"/>
      <c r="J185" s="1"/>
      <c r="K185" s="1"/>
    </row>
    <row r="186" spans="1:11">
      <c r="A186" s="3"/>
      <c r="B186" s="1"/>
      <c r="C186" s="1"/>
      <c r="D186" s="1"/>
      <c r="E186" s="1"/>
      <c r="F186" s="1"/>
      <c r="G186" s="6" t="str">
        <f t="shared" si="3"/>
        <v/>
      </c>
      <c r="H186" s="1"/>
      <c r="I186" s="1"/>
      <c r="J186" s="1"/>
      <c r="K186" s="1"/>
    </row>
    <row r="187" spans="1:11">
      <c r="A187" s="3"/>
      <c r="B187" s="1"/>
      <c r="C187" s="1"/>
      <c r="D187" s="1"/>
      <c r="E187" s="1"/>
      <c r="F187" s="1"/>
      <c r="G187" s="6" t="str">
        <f t="shared" si="3"/>
        <v/>
      </c>
      <c r="H187" s="1"/>
      <c r="I187" s="1"/>
      <c r="J187" s="1"/>
      <c r="K187" s="1"/>
    </row>
    <row r="188" spans="1:11">
      <c r="A188" s="3"/>
      <c r="B188" s="1"/>
      <c r="C188" s="1"/>
      <c r="D188" s="1"/>
      <c r="E188" s="1"/>
      <c r="F188" s="1"/>
      <c r="G188" s="6" t="str">
        <f t="shared" si="3"/>
        <v/>
      </c>
      <c r="H188" s="1"/>
      <c r="I188" s="1"/>
      <c r="J188" s="1"/>
      <c r="K188" s="1"/>
    </row>
    <row r="189" spans="1:11">
      <c r="A189" s="3"/>
      <c r="B189" s="1"/>
      <c r="C189" s="1"/>
      <c r="D189" s="1"/>
      <c r="E189" s="1"/>
      <c r="F189" s="1"/>
      <c r="G189" s="6" t="str">
        <f t="shared" si="3"/>
        <v/>
      </c>
      <c r="H189" s="1"/>
      <c r="I189" s="1"/>
      <c r="J189" s="1"/>
      <c r="K189" s="1"/>
    </row>
    <row r="190" spans="1:11">
      <c r="A190" s="3"/>
      <c r="B190" s="1"/>
      <c r="C190" s="1"/>
      <c r="D190" s="1"/>
      <c r="E190" s="1"/>
      <c r="F190" s="1"/>
      <c r="G190" s="6" t="str">
        <f t="shared" si="3"/>
        <v/>
      </c>
      <c r="H190" s="1"/>
      <c r="I190" s="1"/>
      <c r="J190" s="1"/>
      <c r="K190" s="1"/>
    </row>
    <row r="191" spans="1:11">
      <c r="A191" s="3"/>
      <c r="B191" s="1"/>
      <c r="C191" s="1"/>
      <c r="D191" s="1"/>
      <c r="E191" s="1"/>
      <c r="F191" s="1"/>
      <c r="G191" s="6" t="str">
        <f t="shared" si="3"/>
        <v/>
      </c>
      <c r="H191" s="1"/>
      <c r="I191" s="1"/>
      <c r="J191" s="1"/>
      <c r="K191" s="1"/>
    </row>
    <row r="192" spans="1:11">
      <c r="A192" s="3"/>
      <c r="B192" s="1"/>
      <c r="C192" s="1"/>
      <c r="D192" s="1"/>
      <c r="E192" s="1"/>
      <c r="F192" s="1"/>
      <c r="G192" s="6" t="str">
        <f t="shared" si="3"/>
        <v/>
      </c>
      <c r="H192" s="1"/>
      <c r="I192" s="1"/>
      <c r="J192" s="1"/>
      <c r="K192" s="1"/>
    </row>
    <row r="193" spans="1:11">
      <c r="A193" s="3"/>
      <c r="B193" s="1"/>
      <c r="C193" s="1"/>
      <c r="D193" s="1"/>
      <c r="E193" s="1"/>
      <c r="F193" s="1"/>
      <c r="G193" s="6" t="str">
        <f t="shared" si="3"/>
        <v/>
      </c>
      <c r="H193" s="1"/>
      <c r="I193" s="1"/>
      <c r="J193" s="1"/>
      <c r="K193" s="1"/>
    </row>
    <row r="194" spans="1:11">
      <c r="A194" s="3"/>
      <c r="B194" s="1"/>
      <c r="C194" s="1"/>
      <c r="D194" s="1"/>
      <c r="E194" s="1"/>
      <c r="F194" s="1"/>
      <c r="G194" s="6" t="str">
        <f t="shared" si="3"/>
        <v/>
      </c>
      <c r="H194" s="1"/>
      <c r="I194" s="1"/>
      <c r="J194" s="1"/>
      <c r="K194" s="1"/>
    </row>
    <row r="195" spans="1:11">
      <c r="A195" s="3"/>
      <c r="B195" s="1"/>
      <c r="C195" s="1"/>
      <c r="D195" s="1"/>
      <c r="E195" s="1"/>
      <c r="F195" s="1"/>
      <c r="G195" s="6" t="str">
        <f t="shared" si="3"/>
        <v/>
      </c>
      <c r="H195" s="1"/>
      <c r="I195" s="1"/>
      <c r="J195" s="1"/>
      <c r="K195" s="1"/>
    </row>
    <row r="196" spans="1:11">
      <c r="A196" s="3"/>
      <c r="B196" s="1"/>
      <c r="C196" s="1"/>
      <c r="D196" s="1"/>
      <c r="E196" s="1"/>
      <c r="F196" s="1"/>
      <c r="G196" s="6" t="str">
        <f t="shared" si="3"/>
        <v/>
      </c>
      <c r="H196" s="1"/>
      <c r="I196" s="1"/>
      <c r="J196" s="1"/>
      <c r="K196" s="1"/>
    </row>
    <row r="197" spans="1:11">
      <c r="A197" s="3"/>
      <c r="B197" s="1"/>
      <c r="C197" s="1"/>
      <c r="D197" s="1"/>
      <c r="E197" s="1"/>
      <c r="F197" s="1"/>
      <c r="G197" s="6" t="str">
        <f t="shared" si="3"/>
        <v/>
      </c>
      <c r="H197" s="1"/>
      <c r="I197" s="1"/>
      <c r="J197" s="1"/>
      <c r="K197" s="1"/>
    </row>
    <row r="198" spans="1:11">
      <c r="A198" s="3"/>
      <c r="B198" s="1"/>
      <c r="C198" s="1"/>
      <c r="D198" s="1"/>
      <c r="E198" s="1"/>
      <c r="F198" s="1"/>
      <c r="G198" s="6" t="str">
        <f t="shared" si="3"/>
        <v/>
      </c>
      <c r="H198" s="1"/>
      <c r="I198" s="1"/>
      <c r="J198" s="1"/>
      <c r="K198" s="1"/>
    </row>
    <row r="199" spans="1:11">
      <c r="A199" s="3"/>
      <c r="B199" s="1"/>
      <c r="C199" s="1"/>
      <c r="D199" s="1"/>
      <c r="E199" s="1"/>
      <c r="F199" s="1"/>
      <c r="G199" s="6" t="str">
        <f t="shared" si="3"/>
        <v/>
      </c>
      <c r="H199" s="1"/>
      <c r="I199" s="1"/>
      <c r="J199" s="1"/>
      <c r="K199" s="1"/>
    </row>
    <row r="200" spans="1:11">
      <c r="A200" s="3"/>
      <c r="B200" s="1"/>
      <c r="C200" s="1"/>
      <c r="D200" s="1"/>
      <c r="E200" s="1"/>
      <c r="F200" s="1"/>
      <c r="G200" s="6" t="str">
        <f t="shared" si="3"/>
        <v/>
      </c>
      <c r="H200" s="1"/>
      <c r="I200" s="1"/>
      <c r="J200" s="1"/>
      <c r="K200" s="1"/>
    </row>
    <row r="201" spans="1:11">
      <c r="A201" s="3"/>
      <c r="B201" s="1"/>
      <c r="C201" s="1"/>
      <c r="D201" s="1"/>
      <c r="E201" s="1"/>
      <c r="F201" s="1"/>
      <c r="G201" s="6" t="str">
        <f t="shared" si="3"/>
        <v/>
      </c>
      <c r="H201" s="1"/>
      <c r="I201" s="1"/>
      <c r="J201" s="1"/>
      <c r="K201" s="1"/>
    </row>
    <row r="202" spans="1:11">
      <c r="A202" s="3"/>
      <c r="B202" s="1"/>
      <c r="C202" s="1"/>
      <c r="D202" s="1"/>
      <c r="E202" s="1"/>
      <c r="F202" s="1"/>
      <c r="G202" s="6" t="str">
        <f t="shared" si="3"/>
        <v/>
      </c>
      <c r="H202" s="1"/>
      <c r="I202" s="1"/>
      <c r="J202" s="1"/>
      <c r="K202" s="1"/>
    </row>
    <row r="203" spans="1:11">
      <c r="A203" s="3"/>
      <c r="B203" s="1"/>
      <c r="C203" s="1"/>
      <c r="D203" s="1"/>
      <c r="E203" s="1"/>
      <c r="F203" s="1"/>
      <c r="G203" s="6" t="str">
        <f t="shared" si="3"/>
        <v/>
      </c>
      <c r="H203" s="1"/>
      <c r="I203" s="1"/>
      <c r="J203" s="1"/>
      <c r="K203" s="1"/>
    </row>
    <row r="204" spans="1:11">
      <c r="A204" s="3"/>
      <c r="B204" s="1"/>
      <c r="C204" s="1"/>
      <c r="D204" s="1"/>
      <c r="E204" s="1"/>
      <c r="F204" s="1"/>
      <c r="G204" s="6" t="str">
        <f t="shared" si="3"/>
        <v/>
      </c>
      <c r="H204" s="1"/>
      <c r="I204" s="1"/>
      <c r="J204" s="1"/>
      <c r="K204" s="1"/>
    </row>
    <row r="205" spans="1:11">
      <c r="A205" s="3"/>
      <c r="B205" s="1"/>
      <c r="C205" s="1"/>
      <c r="D205" s="1"/>
      <c r="E205" s="1"/>
      <c r="F205" s="1"/>
      <c r="G205" s="6" t="str">
        <f t="shared" si="3"/>
        <v/>
      </c>
      <c r="H205" s="1"/>
      <c r="I205" s="1"/>
      <c r="J205" s="1"/>
      <c r="K205" s="1"/>
    </row>
    <row r="206" spans="1:11">
      <c r="A206" s="3"/>
      <c r="B206" s="1"/>
      <c r="C206" s="1"/>
      <c r="D206" s="1"/>
      <c r="E206" s="1"/>
      <c r="F206" s="1"/>
      <c r="G206" s="6" t="str">
        <f t="shared" ref="G206:G269" si="4">IF(C206="","",IF(NOT(ISNUMBER(C206)),"See lab report",IF(AND(ISNUMBER(E206),C206&lt;E206),"Low",IF(AND(ISNUMBER(F206),C206&gt;F206),"High",IF(OR(ISNUMBER(E206),ISNUMBER(F206)),"In range","See lab report")))))</f>
        <v/>
      </c>
      <c r="H206" s="1"/>
      <c r="I206" s="1"/>
      <c r="J206" s="1"/>
      <c r="K206" s="1"/>
    </row>
    <row r="207" spans="1:11">
      <c r="A207" s="3"/>
      <c r="B207" s="1"/>
      <c r="C207" s="1"/>
      <c r="D207" s="1"/>
      <c r="E207" s="1"/>
      <c r="F207" s="1"/>
      <c r="G207" s="6" t="str">
        <f t="shared" si="4"/>
        <v/>
      </c>
      <c r="H207" s="1"/>
      <c r="I207" s="1"/>
      <c r="J207" s="1"/>
      <c r="K207" s="1"/>
    </row>
    <row r="208" spans="1:11">
      <c r="A208" s="3"/>
      <c r="B208" s="1"/>
      <c r="C208" s="1"/>
      <c r="D208" s="1"/>
      <c r="E208" s="1"/>
      <c r="F208" s="1"/>
      <c r="G208" s="6" t="str">
        <f t="shared" si="4"/>
        <v/>
      </c>
      <c r="H208" s="1"/>
      <c r="I208" s="1"/>
      <c r="J208" s="1"/>
      <c r="K208" s="1"/>
    </row>
    <row r="209" spans="1:11">
      <c r="A209" s="3"/>
      <c r="B209" s="1"/>
      <c r="C209" s="1"/>
      <c r="D209" s="1"/>
      <c r="E209" s="1"/>
      <c r="F209" s="1"/>
      <c r="G209" s="6" t="str">
        <f t="shared" si="4"/>
        <v/>
      </c>
      <c r="H209" s="1"/>
      <c r="I209" s="1"/>
      <c r="J209" s="1"/>
      <c r="K209" s="1"/>
    </row>
    <row r="210" spans="1:11">
      <c r="A210" s="3"/>
      <c r="B210" s="1"/>
      <c r="C210" s="1"/>
      <c r="D210" s="1"/>
      <c r="E210" s="1"/>
      <c r="F210" s="1"/>
      <c r="G210" s="6" t="str">
        <f t="shared" si="4"/>
        <v/>
      </c>
      <c r="H210" s="1"/>
      <c r="I210" s="1"/>
      <c r="J210" s="1"/>
      <c r="K210" s="1"/>
    </row>
    <row r="211" spans="1:11">
      <c r="A211" s="3"/>
      <c r="B211" s="1"/>
      <c r="C211" s="1"/>
      <c r="D211" s="1"/>
      <c r="E211" s="1"/>
      <c r="F211" s="1"/>
      <c r="G211" s="6" t="str">
        <f t="shared" si="4"/>
        <v/>
      </c>
      <c r="H211" s="1"/>
      <c r="I211" s="1"/>
      <c r="J211" s="1"/>
      <c r="K211" s="1"/>
    </row>
    <row r="212" spans="1:11">
      <c r="A212" s="3"/>
      <c r="B212" s="1"/>
      <c r="C212" s="1"/>
      <c r="D212" s="1"/>
      <c r="E212" s="1"/>
      <c r="F212" s="1"/>
      <c r="G212" s="6" t="str">
        <f t="shared" si="4"/>
        <v/>
      </c>
      <c r="H212" s="1"/>
      <c r="I212" s="1"/>
      <c r="J212" s="1"/>
      <c r="K212" s="1"/>
    </row>
    <row r="213" spans="1:11">
      <c r="A213" s="3"/>
      <c r="B213" s="1"/>
      <c r="C213" s="1"/>
      <c r="D213" s="1"/>
      <c r="E213" s="1"/>
      <c r="F213" s="1"/>
      <c r="G213" s="6" t="str">
        <f t="shared" si="4"/>
        <v/>
      </c>
      <c r="H213" s="1"/>
      <c r="I213" s="1"/>
      <c r="J213" s="1"/>
      <c r="K213" s="1"/>
    </row>
    <row r="214" spans="1:11">
      <c r="A214" s="3"/>
      <c r="B214" s="1"/>
      <c r="C214" s="1"/>
      <c r="D214" s="1"/>
      <c r="E214" s="1"/>
      <c r="F214" s="1"/>
      <c r="G214" s="6" t="str">
        <f t="shared" si="4"/>
        <v/>
      </c>
      <c r="H214" s="1"/>
      <c r="I214" s="1"/>
      <c r="J214" s="1"/>
      <c r="K214" s="1"/>
    </row>
    <row r="215" spans="1:11">
      <c r="A215" s="3"/>
      <c r="B215" s="1"/>
      <c r="C215" s="1"/>
      <c r="D215" s="1"/>
      <c r="E215" s="1"/>
      <c r="F215" s="1"/>
      <c r="G215" s="6" t="str">
        <f t="shared" si="4"/>
        <v/>
      </c>
      <c r="H215" s="1"/>
      <c r="I215" s="1"/>
      <c r="J215" s="1"/>
      <c r="K215" s="1"/>
    </row>
    <row r="216" spans="1:11">
      <c r="A216" s="3"/>
      <c r="B216" s="1"/>
      <c r="C216" s="1"/>
      <c r="D216" s="1"/>
      <c r="E216" s="1"/>
      <c r="F216" s="1"/>
      <c r="G216" s="6" t="str">
        <f t="shared" si="4"/>
        <v/>
      </c>
      <c r="H216" s="1"/>
      <c r="I216" s="1"/>
      <c r="J216" s="1"/>
      <c r="K216" s="1"/>
    </row>
    <row r="217" spans="1:11">
      <c r="A217" s="3"/>
      <c r="B217" s="1"/>
      <c r="C217" s="1"/>
      <c r="D217" s="1"/>
      <c r="E217" s="1"/>
      <c r="F217" s="1"/>
      <c r="G217" s="6" t="str">
        <f t="shared" si="4"/>
        <v/>
      </c>
      <c r="H217" s="1"/>
      <c r="I217" s="1"/>
      <c r="J217" s="1"/>
      <c r="K217" s="1"/>
    </row>
    <row r="218" spans="1:11">
      <c r="A218" s="3"/>
      <c r="B218" s="1"/>
      <c r="C218" s="1"/>
      <c r="D218" s="1"/>
      <c r="E218" s="1"/>
      <c r="F218" s="1"/>
      <c r="G218" s="6" t="str">
        <f t="shared" si="4"/>
        <v/>
      </c>
      <c r="H218" s="1"/>
      <c r="I218" s="1"/>
      <c r="J218" s="1"/>
      <c r="K218" s="1"/>
    </row>
    <row r="219" spans="1:11">
      <c r="A219" s="3"/>
      <c r="B219" s="1"/>
      <c r="C219" s="1"/>
      <c r="D219" s="1"/>
      <c r="E219" s="1"/>
      <c r="F219" s="1"/>
      <c r="G219" s="6" t="str">
        <f t="shared" si="4"/>
        <v/>
      </c>
      <c r="H219" s="1"/>
      <c r="I219" s="1"/>
      <c r="J219" s="1"/>
      <c r="K219" s="1"/>
    </row>
    <row r="220" spans="1:11">
      <c r="A220" s="3"/>
      <c r="B220" s="1"/>
      <c r="C220" s="1"/>
      <c r="D220" s="1"/>
      <c r="E220" s="1"/>
      <c r="F220" s="1"/>
      <c r="G220" s="6" t="str">
        <f t="shared" si="4"/>
        <v/>
      </c>
      <c r="H220" s="1"/>
      <c r="I220" s="1"/>
      <c r="J220" s="1"/>
      <c r="K220" s="1"/>
    </row>
    <row r="221" spans="1:11">
      <c r="A221" s="3"/>
      <c r="B221" s="1"/>
      <c r="C221" s="1"/>
      <c r="D221" s="1"/>
      <c r="E221" s="1"/>
      <c r="F221" s="1"/>
      <c r="G221" s="6" t="str">
        <f t="shared" si="4"/>
        <v/>
      </c>
      <c r="H221" s="1"/>
      <c r="I221" s="1"/>
      <c r="J221" s="1"/>
      <c r="K221" s="1"/>
    </row>
    <row r="222" spans="1:11">
      <c r="A222" s="3"/>
      <c r="B222" s="1"/>
      <c r="C222" s="1"/>
      <c r="D222" s="1"/>
      <c r="E222" s="1"/>
      <c r="F222" s="1"/>
      <c r="G222" s="6" t="str">
        <f t="shared" si="4"/>
        <v/>
      </c>
      <c r="H222" s="1"/>
      <c r="I222" s="1"/>
      <c r="J222" s="1"/>
      <c r="K222" s="1"/>
    </row>
    <row r="223" spans="1:11">
      <c r="A223" s="3"/>
      <c r="B223" s="1"/>
      <c r="C223" s="1"/>
      <c r="D223" s="1"/>
      <c r="E223" s="1"/>
      <c r="F223" s="1"/>
      <c r="G223" s="6" t="str">
        <f t="shared" si="4"/>
        <v/>
      </c>
      <c r="H223" s="1"/>
      <c r="I223" s="1"/>
      <c r="J223" s="1"/>
      <c r="K223" s="1"/>
    </row>
    <row r="224" spans="1:11">
      <c r="A224" s="3"/>
      <c r="B224" s="1"/>
      <c r="C224" s="1"/>
      <c r="D224" s="1"/>
      <c r="E224" s="1"/>
      <c r="F224" s="1"/>
      <c r="G224" s="6" t="str">
        <f t="shared" si="4"/>
        <v/>
      </c>
      <c r="H224" s="1"/>
      <c r="I224" s="1"/>
      <c r="J224" s="1"/>
      <c r="K224" s="1"/>
    </row>
    <row r="225" spans="1:11">
      <c r="A225" s="3"/>
      <c r="B225" s="1"/>
      <c r="C225" s="1"/>
      <c r="D225" s="1"/>
      <c r="E225" s="1"/>
      <c r="F225" s="1"/>
      <c r="G225" s="6" t="str">
        <f t="shared" si="4"/>
        <v/>
      </c>
      <c r="H225" s="1"/>
      <c r="I225" s="1"/>
      <c r="J225" s="1"/>
      <c r="K225" s="1"/>
    </row>
    <row r="226" spans="1:11">
      <c r="A226" s="3"/>
      <c r="B226" s="1"/>
      <c r="C226" s="1"/>
      <c r="D226" s="1"/>
      <c r="E226" s="1"/>
      <c r="F226" s="1"/>
      <c r="G226" s="6" t="str">
        <f t="shared" si="4"/>
        <v/>
      </c>
      <c r="H226" s="1"/>
      <c r="I226" s="1"/>
      <c r="J226" s="1"/>
      <c r="K226" s="1"/>
    </row>
    <row r="227" spans="1:11">
      <c r="A227" s="3"/>
      <c r="B227" s="1"/>
      <c r="C227" s="1"/>
      <c r="D227" s="1"/>
      <c r="E227" s="1"/>
      <c r="F227" s="1"/>
      <c r="G227" s="6" t="str">
        <f t="shared" si="4"/>
        <v/>
      </c>
      <c r="H227" s="1"/>
      <c r="I227" s="1"/>
      <c r="J227" s="1"/>
      <c r="K227" s="1"/>
    </row>
    <row r="228" spans="1:11">
      <c r="A228" s="3"/>
      <c r="B228" s="1"/>
      <c r="C228" s="1"/>
      <c r="D228" s="1"/>
      <c r="E228" s="1"/>
      <c r="F228" s="1"/>
      <c r="G228" s="6" t="str">
        <f t="shared" si="4"/>
        <v/>
      </c>
      <c r="H228" s="1"/>
      <c r="I228" s="1"/>
      <c r="J228" s="1"/>
      <c r="K228" s="1"/>
    </row>
    <row r="229" spans="1:11">
      <c r="A229" s="3"/>
      <c r="B229" s="1"/>
      <c r="C229" s="1"/>
      <c r="D229" s="1"/>
      <c r="E229" s="1"/>
      <c r="F229" s="1"/>
      <c r="G229" s="6" t="str">
        <f t="shared" si="4"/>
        <v/>
      </c>
      <c r="H229" s="1"/>
      <c r="I229" s="1"/>
      <c r="J229" s="1"/>
      <c r="K229" s="1"/>
    </row>
    <row r="230" spans="1:11">
      <c r="A230" s="3"/>
      <c r="B230" s="1"/>
      <c r="C230" s="1"/>
      <c r="D230" s="1"/>
      <c r="E230" s="1"/>
      <c r="F230" s="1"/>
      <c r="G230" s="6" t="str">
        <f t="shared" si="4"/>
        <v/>
      </c>
      <c r="H230" s="1"/>
      <c r="I230" s="1"/>
      <c r="J230" s="1"/>
      <c r="K230" s="1"/>
    </row>
    <row r="231" spans="1:11">
      <c r="A231" s="3"/>
      <c r="B231" s="1"/>
      <c r="C231" s="1"/>
      <c r="D231" s="1"/>
      <c r="E231" s="1"/>
      <c r="F231" s="1"/>
      <c r="G231" s="6" t="str">
        <f t="shared" si="4"/>
        <v/>
      </c>
      <c r="H231" s="1"/>
      <c r="I231" s="1"/>
      <c r="J231" s="1"/>
      <c r="K231" s="1"/>
    </row>
    <row r="232" spans="1:11">
      <c r="A232" s="3"/>
      <c r="B232" s="1"/>
      <c r="C232" s="1"/>
      <c r="D232" s="1"/>
      <c r="E232" s="1"/>
      <c r="F232" s="1"/>
      <c r="G232" s="6" t="str">
        <f t="shared" si="4"/>
        <v/>
      </c>
      <c r="H232" s="1"/>
      <c r="I232" s="1"/>
      <c r="J232" s="1"/>
      <c r="K232" s="1"/>
    </row>
    <row r="233" spans="1:11">
      <c r="A233" s="3"/>
      <c r="B233" s="1"/>
      <c r="C233" s="1"/>
      <c r="D233" s="1"/>
      <c r="E233" s="1"/>
      <c r="F233" s="1"/>
      <c r="G233" s="6" t="str">
        <f t="shared" si="4"/>
        <v/>
      </c>
      <c r="H233" s="1"/>
      <c r="I233" s="1"/>
      <c r="J233" s="1"/>
      <c r="K233" s="1"/>
    </row>
    <row r="234" spans="1:11">
      <c r="A234" s="3"/>
      <c r="B234" s="1"/>
      <c r="C234" s="1"/>
      <c r="D234" s="1"/>
      <c r="E234" s="1"/>
      <c r="F234" s="1"/>
      <c r="G234" s="6" t="str">
        <f t="shared" si="4"/>
        <v/>
      </c>
      <c r="H234" s="1"/>
      <c r="I234" s="1"/>
      <c r="J234" s="1"/>
      <c r="K234" s="1"/>
    </row>
    <row r="235" spans="1:11">
      <c r="A235" s="3"/>
      <c r="B235" s="1"/>
      <c r="C235" s="1"/>
      <c r="D235" s="1"/>
      <c r="E235" s="1"/>
      <c r="F235" s="1"/>
      <c r="G235" s="6" t="str">
        <f t="shared" si="4"/>
        <v/>
      </c>
      <c r="H235" s="1"/>
      <c r="I235" s="1"/>
      <c r="J235" s="1"/>
      <c r="K235" s="1"/>
    </row>
    <row r="236" spans="1:11">
      <c r="A236" s="3"/>
      <c r="B236" s="1"/>
      <c r="C236" s="1"/>
      <c r="D236" s="1"/>
      <c r="E236" s="1"/>
      <c r="F236" s="1"/>
      <c r="G236" s="6" t="str">
        <f t="shared" si="4"/>
        <v/>
      </c>
      <c r="H236" s="1"/>
      <c r="I236" s="1"/>
      <c r="J236" s="1"/>
      <c r="K236" s="1"/>
    </row>
    <row r="237" spans="1:11">
      <c r="A237" s="3"/>
      <c r="B237" s="1"/>
      <c r="C237" s="1"/>
      <c r="D237" s="1"/>
      <c r="E237" s="1"/>
      <c r="F237" s="1"/>
      <c r="G237" s="6" t="str">
        <f t="shared" si="4"/>
        <v/>
      </c>
      <c r="H237" s="1"/>
      <c r="I237" s="1"/>
      <c r="J237" s="1"/>
      <c r="K237" s="1"/>
    </row>
    <row r="238" spans="1:11">
      <c r="A238" s="3"/>
      <c r="B238" s="1"/>
      <c r="C238" s="1"/>
      <c r="D238" s="1"/>
      <c r="E238" s="1"/>
      <c r="F238" s="1"/>
      <c r="G238" s="6" t="str">
        <f t="shared" si="4"/>
        <v/>
      </c>
      <c r="H238" s="1"/>
      <c r="I238" s="1"/>
      <c r="J238" s="1"/>
      <c r="K238" s="1"/>
    </row>
    <row r="239" spans="1:11">
      <c r="A239" s="3"/>
      <c r="B239" s="1"/>
      <c r="C239" s="1"/>
      <c r="D239" s="1"/>
      <c r="E239" s="1"/>
      <c r="F239" s="1"/>
      <c r="G239" s="6" t="str">
        <f t="shared" si="4"/>
        <v/>
      </c>
      <c r="H239" s="1"/>
      <c r="I239" s="1"/>
      <c r="J239" s="1"/>
      <c r="K239" s="1"/>
    </row>
    <row r="240" spans="1:11">
      <c r="A240" s="3"/>
      <c r="B240" s="1"/>
      <c r="C240" s="1"/>
      <c r="D240" s="1"/>
      <c r="E240" s="1"/>
      <c r="F240" s="1"/>
      <c r="G240" s="6" t="str">
        <f t="shared" si="4"/>
        <v/>
      </c>
      <c r="H240" s="1"/>
      <c r="I240" s="1"/>
      <c r="J240" s="1"/>
      <c r="K240" s="1"/>
    </row>
    <row r="241" spans="1:11">
      <c r="A241" s="3"/>
      <c r="B241" s="1"/>
      <c r="C241" s="1"/>
      <c r="D241" s="1"/>
      <c r="E241" s="1"/>
      <c r="F241" s="1"/>
      <c r="G241" s="6" t="str">
        <f t="shared" si="4"/>
        <v/>
      </c>
      <c r="H241" s="1"/>
      <c r="I241" s="1"/>
      <c r="J241" s="1"/>
      <c r="K241" s="1"/>
    </row>
    <row r="242" spans="1:11">
      <c r="A242" s="3"/>
      <c r="B242" s="1"/>
      <c r="C242" s="1"/>
      <c r="D242" s="1"/>
      <c r="E242" s="1"/>
      <c r="F242" s="1"/>
      <c r="G242" s="6" t="str">
        <f t="shared" si="4"/>
        <v/>
      </c>
      <c r="H242" s="1"/>
      <c r="I242" s="1"/>
      <c r="J242" s="1"/>
      <c r="K242" s="1"/>
    </row>
    <row r="243" spans="1:11">
      <c r="A243" s="3"/>
      <c r="B243" s="1"/>
      <c r="C243" s="1"/>
      <c r="D243" s="1"/>
      <c r="E243" s="1"/>
      <c r="F243" s="1"/>
      <c r="G243" s="6" t="str">
        <f t="shared" si="4"/>
        <v/>
      </c>
      <c r="H243" s="1"/>
      <c r="I243" s="1"/>
      <c r="J243" s="1"/>
      <c r="K243" s="1"/>
    </row>
    <row r="244" spans="1:11">
      <c r="A244" s="3"/>
      <c r="B244" s="1"/>
      <c r="C244" s="1"/>
      <c r="D244" s="1"/>
      <c r="E244" s="1"/>
      <c r="F244" s="1"/>
      <c r="G244" s="6" t="str">
        <f t="shared" si="4"/>
        <v/>
      </c>
      <c r="H244" s="1"/>
      <c r="I244" s="1"/>
      <c r="J244" s="1"/>
      <c r="K244" s="1"/>
    </row>
    <row r="245" spans="1:11">
      <c r="A245" s="3"/>
      <c r="B245" s="1"/>
      <c r="C245" s="1"/>
      <c r="D245" s="1"/>
      <c r="E245" s="1"/>
      <c r="F245" s="1"/>
      <c r="G245" s="6" t="str">
        <f t="shared" si="4"/>
        <v/>
      </c>
      <c r="H245" s="1"/>
      <c r="I245" s="1"/>
      <c r="J245" s="1"/>
      <c r="K245" s="1"/>
    </row>
    <row r="246" spans="1:11">
      <c r="A246" s="3"/>
      <c r="B246" s="1"/>
      <c r="C246" s="1"/>
      <c r="D246" s="1"/>
      <c r="E246" s="1"/>
      <c r="F246" s="1"/>
      <c r="G246" s="6" t="str">
        <f t="shared" si="4"/>
        <v/>
      </c>
      <c r="H246" s="1"/>
      <c r="I246" s="1"/>
      <c r="J246" s="1"/>
      <c r="K246" s="1"/>
    </row>
    <row r="247" spans="1:11">
      <c r="A247" s="3"/>
      <c r="B247" s="1"/>
      <c r="C247" s="1"/>
      <c r="D247" s="1"/>
      <c r="E247" s="1"/>
      <c r="F247" s="1"/>
      <c r="G247" s="6" t="str">
        <f t="shared" si="4"/>
        <v/>
      </c>
      <c r="H247" s="1"/>
      <c r="I247" s="1"/>
      <c r="J247" s="1"/>
      <c r="K247" s="1"/>
    </row>
    <row r="248" spans="1:11">
      <c r="A248" s="3"/>
      <c r="B248" s="1"/>
      <c r="C248" s="1"/>
      <c r="D248" s="1"/>
      <c r="E248" s="1"/>
      <c r="F248" s="1"/>
      <c r="G248" s="6" t="str">
        <f t="shared" si="4"/>
        <v/>
      </c>
      <c r="H248" s="1"/>
      <c r="I248" s="1"/>
      <c r="J248" s="1"/>
      <c r="K248" s="1"/>
    </row>
    <row r="249" spans="1:11">
      <c r="A249" s="3"/>
      <c r="B249" s="1"/>
      <c r="C249" s="1"/>
      <c r="D249" s="1"/>
      <c r="E249" s="1"/>
      <c r="F249" s="1"/>
      <c r="G249" s="6" t="str">
        <f t="shared" si="4"/>
        <v/>
      </c>
      <c r="H249" s="1"/>
      <c r="I249" s="1"/>
      <c r="J249" s="1"/>
      <c r="K249" s="1"/>
    </row>
    <row r="250" spans="1:11">
      <c r="A250" s="3"/>
      <c r="B250" s="1"/>
      <c r="C250" s="1"/>
      <c r="D250" s="1"/>
      <c r="E250" s="1"/>
      <c r="F250" s="1"/>
      <c r="G250" s="6" t="str">
        <f t="shared" si="4"/>
        <v/>
      </c>
      <c r="H250" s="1"/>
      <c r="I250" s="1"/>
      <c r="J250" s="1"/>
      <c r="K250" s="1"/>
    </row>
    <row r="251" spans="1:11">
      <c r="A251" s="3"/>
      <c r="B251" s="1"/>
      <c r="C251" s="1"/>
      <c r="D251" s="1"/>
      <c r="E251" s="1"/>
      <c r="F251" s="1"/>
      <c r="G251" s="6" t="str">
        <f t="shared" si="4"/>
        <v/>
      </c>
      <c r="H251" s="1"/>
      <c r="I251" s="1"/>
      <c r="J251" s="1"/>
      <c r="K251" s="1"/>
    </row>
    <row r="252" spans="1:11">
      <c r="A252" s="3"/>
      <c r="B252" s="1"/>
      <c r="C252" s="1"/>
      <c r="D252" s="1"/>
      <c r="E252" s="1"/>
      <c r="F252" s="1"/>
      <c r="G252" s="6" t="str">
        <f t="shared" si="4"/>
        <v/>
      </c>
      <c r="H252" s="1"/>
      <c r="I252" s="1"/>
      <c r="J252" s="1"/>
      <c r="K252" s="1"/>
    </row>
    <row r="253" spans="1:11">
      <c r="A253" s="3"/>
      <c r="B253" s="1"/>
      <c r="C253" s="1"/>
      <c r="D253" s="1"/>
      <c r="E253" s="1"/>
      <c r="F253" s="1"/>
      <c r="G253" s="6" t="str">
        <f t="shared" si="4"/>
        <v/>
      </c>
      <c r="H253" s="1"/>
      <c r="I253" s="1"/>
      <c r="J253" s="1"/>
      <c r="K253" s="1"/>
    </row>
    <row r="254" spans="1:11">
      <c r="A254" s="3"/>
      <c r="B254" s="1"/>
      <c r="C254" s="1"/>
      <c r="D254" s="1"/>
      <c r="E254" s="1"/>
      <c r="F254" s="1"/>
      <c r="G254" s="6" t="str">
        <f t="shared" si="4"/>
        <v/>
      </c>
      <c r="H254" s="1"/>
      <c r="I254" s="1"/>
      <c r="J254" s="1"/>
      <c r="K254" s="1"/>
    </row>
    <row r="255" spans="1:11">
      <c r="A255" s="3"/>
      <c r="B255" s="1"/>
      <c r="C255" s="1"/>
      <c r="D255" s="1"/>
      <c r="E255" s="1"/>
      <c r="F255" s="1"/>
      <c r="G255" s="6" t="str">
        <f t="shared" si="4"/>
        <v/>
      </c>
      <c r="H255" s="1"/>
      <c r="I255" s="1"/>
      <c r="J255" s="1"/>
      <c r="K255" s="1"/>
    </row>
  </sheetData>
  <mergeCells count="2">
    <mergeCell ref="A1:K2"/>
    <mergeCell ref="A3:K3"/>
  </mergeCells>
  <conditionalFormatting sqref="G6:G255">
    <cfRule type="expression" dxfId="2" priority="1">
      <formula>G6="High"</formula>
    </cfRule>
    <cfRule type="expression" dxfId="1" priority="2">
      <formula>G6="Low"</formula>
    </cfRule>
    <cfRule type="expression" dxfId="0" priority="3">
      <formula>G6="In range"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55"/>
  <sheetViews>
    <sheetView workbookViewId="0">
      <selection sqref="A1:N2"/>
    </sheetView>
  </sheetViews>
  <sheetFormatPr defaultRowHeight="14.25"/>
  <cols>
    <col min="1" max="1" width="12" customWidth="1"/>
    <col min="2" max="2" width="24" customWidth="1"/>
    <col min="3" max="3" width="22" customWidth="1"/>
    <col min="4" max="4" width="18" customWidth="1"/>
    <col min="5" max="5" width="28" customWidth="1"/>
    <col min="6" max="7" width="40" customWidth="1"/>
    <col min="8" max="8" width="32" customWidth="1"/>
    <col min="9" max="9" width="38" customWidth="1"/>
    <col min="10" max="10" width="30" customWidth="1"/>
    <col min="11" max="11" width="26" customWidth="1"/>
    <col min="12" max="12" width="30" customWidth="1"/>
    <col min="13" max="13" width="34" customWidth="1"/>
    <col min="14" max="14" width="14" customWidth="1"/>
  </cols>
  <sheetData>
    <row r="1" spans="1:14" ht="32.1" customHeight="1">
      <c r="A1" s="19" t="s">
        <v>595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30" t="s">
        <v>596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5" spans="1:14" ht="33.950000000000003" customHeight="1">
      <c r="A5" s="12" t="s">
        <v>226</v>
      </c>
      <c r="B5" s="12" t="s">
        <v>597</v>
      </c>
      <c r="C5" s="12" t="s">
        <v>598</v>
      </c>
      <c r="D5" s="12" t="s">
        <v>599</v>
      </c>
      <c r="E5" s="12" t="s">
        <v>600</v>
      </c>
      <c r="F5" s="12" t="s">
        <v>601</v>
      </c>
      <c r="G5" s="12" t="s">
        <v>602</v>
      </c>
      <c r="H5" s="12" t="s">
        <v>603</v>
      </c>
      <c r="I5" s="12" t="s">
        <v>604</v>
      </c>
      <c r="J5" s="12" t="s">
        <v>605</v>
      </c>
      <c r="K5" s="12" t="s">
        <v>606</v>
      </c>
      <c r="L5" s="12" t="s">
        <v>607</v>
      </c>
      <c r="M5" s="12" t="s">
        <v>608</v>
      </c>
      <c r="N5" s="12" t="s">
        <v>609</v>
      </c>
    </row>
    <row r="6" spans="1:14" ht="28.5">
      <c r="A6" s="3">
        <v>46286</v>
      </c>
      <c r="B6" s="1" t="s">
        <v>610</v>
      </c>
      <c r="C6" s="1" t="s">
        <v>407</v>
      </c>
      <c r="D6" s="1" t="s">
        <v>611</v>
      </c>
      <c r="E6" s="1" t="s">
        <v>612</v>
      </c>
      <c r="F6" s="1" t="s">
        <v>613</v>
      </c>
      <c r="G6" s="1" t="s">
        <v>614</v>
      </c>
      <c r="H6" s="1" t="s">
        <v>615</v>
      </c>
      <c r="I6" s="1" t="s">
        <v>616</v>
      </c>
      <c r="J6" s="1" t="s">
        <v>617</v>
      </c>
      <c r="K6" s="1"/>
      <c r="L6" s="1" t="s">
        <v>618</v>
      </c>
      <c r="M6" s="1" t="s">
        <v>619</v>
      </c>
      <c r="N6" s="3">
        <v>46303</v>
      </c>
    </row>
    <row r="7" spans="1:14">
      <c r="A7" s="3">
        <v>46290</v>
      </c>
      <c r="B7" s="1" t="s">
        <v>620</v>
      </c>
      <c r="C7" s="1" t="s">
        <v>621</v>
      </c>
      <c r="D7" s="1" t="s">
        <v>622</v>
      </c>
      <c r="E7" s="1" t="s">
        <v>623</v>
      </c>
      <c r="F7" s="1" t="s">
        <v>624</v>
      </c>
      <c r="G7" s="1" t="s">
        <v>625</v>
      </c>
      <c r="H7" s="1" t="s">
        <v>626</v>
      </c>
      <c r="I7" s="1" t="s">
        <v>460</v>
      </c>
      <c r="J7" s="1"/>
      <c r="K7" s="1"/>
      <c r="L7" s="1" t="s">
        <v>627</v>
      </c>
      <c r="M7" s="1" t="s">
        <v>628</v>
      </c>
      <c r="N7" s="3">
        <v>46346</v>
      </c>
    </row>
    <row r="8" spans="1:14" ht="28.5">
      <c r="A8" s="3">
        <v>46303</v>
      </c>
      <c r="B8" s="1" t="s">
        <v>629</v>
      </c>
      <c r="C8" s="1" t="s">
        <v>407</v>
      </c>
      <c r="D8" s="1" t="s">
        <v>630</v>
      </c>
      <c r="E8" s="1" t="s">
        <v>631</v>
      </c>
      <c r="F8" s="1" t="s">
        <v>632</v>
      </c>
      <c r="G8" s="1" t="s">
        <v>633</v>
      </c>
      <c r="H8" s="1" t="s">
        <v>634</v>
      </c>
      <c r="I8" s="1" t="s">
        <v>635</v>
      </c>
      <c r="J8" s="1"/>
      <c r="K8" s="1"/>
      <c r="L8" s="1"/>
      <c r="M8" s="1" t="s">
        <v>636</v>
      </c>
      <c r="N8" s="3"/>
    </row>
    <row r="9" spans="1:14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</row>
    <row r="10" spans="1:14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/>
    </row>
    <row r="11" spans="1:14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4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</row>
    <row r="13" spans="1:14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</row>
    <row r="14" spans="1: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</row>
    <row r="15" spans="1:14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"/>
    </row>
    <row r="16" spans="1:14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"/>
    </row>
    <row r="17" spans="1:14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</row>
    <row r="18" spans="1:14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"/>
    </row>
    <row r="19" spans="1:14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"/>
    </row>
    <row r="20" spans="1:14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"/>
    </row>
    <row r="21" spans="1:14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</row>
    <row r="22" spans="1:14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</row>
    <row r="23" spans="1:14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</row>
    <row r="24" spans="1:14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</row>
    <row r="25" spans="1:14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</row>
    <row r="26" spans="1:14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</row>
    <row r="27" spans="1:14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"/>
    </row>
    <row r="28" spans="1:14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</row>
    <row r="29" spans="1:14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"/>
    </row>
    <row r="30" spans="1:14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"/>
    </row>
    <row r="31" spans="1:14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"/>
    </row>
    <row r="32" spans="1:14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"/>
    </row>
    <row r="33" spans="1:14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"/>
    </row>
    <row r="34" spans="1:14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</row>
    <row r="35" spans="1:14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</row>
    <row r="36" spans="1:14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</row>
    <row r="37" spans="1:14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</row>
    <row r="38" spans="1:14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</row>
    <row r="39" spans="1:14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</row>
    <row r="40" spans="1:14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</row>
    <row r="41" spans="1:14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</row>
    <row r="42" spans="1:14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</row>
    <row r="43" spans="1:14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</row>
    <row r="44" spans="1:14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</row>
    <row r="45" spans="1:14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</row>
    <row r="46" spans="1:1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</row>
    <row r="47" spans="1:1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</row>
    <row r="48" spans="1:14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</row>
    <row r="49" spans="1:14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</row>
    <row r="50" spans="1:14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</row>
    <row r="51" spans="1:14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</row>
    <row r="52" spans="1:1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</row>
    <row r="53" spans="1:14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"/>
    </row>
    <row r="55" spans="1:14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</row>
    <row r="57" spans="1:14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</row>
    <row r="58" spans="1:14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</row>
    <row r="59" spans="1:14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"/>
    </row>
    <row r="60" spans="1:14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</row>
    <row r="61" spans="1:14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</row>
    <row r="62" spans="1:14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</row>
    <row r="63" spans="1:14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"/>
    </row>
    <row r="64" spans="1:14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"/>
    </row>
    <row r="65" spans="1:14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</row>
    <row r="66" spans="1:14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</row>
    <row r="67" spans="1:14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</row>
    <row r="68" spans="1:14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</row>
    <row r="69" spans="1:14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</row>
    <row r="70" spans="1:14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</row>
    <row r="71" spans="1:14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</row>
    <row r="72" spans="1:14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</row>
    <row r="73" spans="1:14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"/>
    </row>
    <row r="74" spans="1:1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</row>
    <row r="75" spans="1:14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</row>
    <row r="76" spans="1:14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</row>
    <row r="77" spans="1:14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</row>
    <row r="78" spans="1:14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</row>
    <row r="79" spans="1:14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</row>
    <row r="80" spans="1:14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"/>
    </row>
    <row r="81" spans="1:14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</row>
    <row r="82" spans="1:14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</row>
    <row r="83" spans="1:14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</row>
    <row r="84" spans="1:14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</row>
    <row r="85" spans="1:14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</row>
    <row r="86" spans="1:14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</row>
    <row r="87" spans="1:14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</row>
    <row r="88" spans="1:14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</row>
    <row r="89" spans="1:14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</row>
    <row r="90" spans="1:1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"/>
    </row>
    <row r="91" spans="1:14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"/>
    </row>
    <row r="92" spans="1:1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</row>
    <row r="93" spans="1:14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</row>
    <row r="94" spans="1:1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</row>
    <row r="95" spans="1:14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</row>
    <row r="96" spans="1:14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</row>
    <row r="97" spans="1:14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</row>
    <row r="98" spans="1:14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</row>
    <row r="99" spans="1:14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</row>
    <row r="100" spans="1:14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</row>
    <row r="101" spans="1:14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"/>
    </row>
    <row r="102" spans="1:14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</row>
    <row r="103" spans="1:14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</row>
    <row r="104" spans="1:1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</row>
    <row r="105" spans="1:14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</row>
    <row r="106" spans="1:14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</row>
    <row r="107" spans="1:14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/>
    </row>
    <row r="108" spans="1:14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</row>
    <row r="109" spans="1:14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"/>
    </row>
    <row r="110" spans="1:14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</row>
    <row r="111" spans="1:14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</row>
    <row r="112" spans="1:14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</row>
    <row r="113" spans="1:14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"/>
    </row>
    <row r="114" spans="1:14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"/>
    </row>
    <row r="115" spans="1:14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"/>
    </row>
    <row r="116" spans="1:14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</row>
    <row r="117" spans="1:14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</row>
    <row r="118" spans="1:14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</row>
    <row r="119" spans="1:14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</row>
    <row r="120" spans="1:14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"/>
    </row>
    <row r="121" spans="1:14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"/>
    </row>
    <row r="122" spans="1:14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</row>
    <row r="123" spans="1:14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</row>
    <row r="124" spans="1:14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</row>
    <row r="125" spans="1:14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</row>
    <row r="126" spans="1:14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</row>
    <row r="127" spans="1:14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"/>
    </row>
    <row r="128" spans="1:14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</row>
    <row r="129" spans="1:14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</row>
    <row r="130" spans="1:14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</row>
    <row r="131" spans="1:14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</row>
    <row r="132" spans="1:14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</row>
    <row r="133" spans="1:14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</row>
    <row r="134" spans="1:14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</row>
    <row r="135" spans="1:14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</row>
    <row r="136" spans="1:14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</row>
    <row r="137" spans="1:14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</row>
    <row r="138" spans="1:14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"/>
    </row>
    <row r="139" spans="1:14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</row>
    <row r="140" spans="1:14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</row>
    <row r="141" spans="1:14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</row>
    <row r="142" spans="1:14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"/>
    </row>
    <row r="143" spans="1:14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</row>
    <row r="144" spans="1:14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"/>
    </row>
    <row r="145" spans="1:14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"/>
    </row>
    <row r="146" spans="1:14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"/>
    </row>
    <row r="147" spans="1:14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"/>
    </row>
    <row r="148" spans="1:14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"/>
    </row>
    <row r="149" spans="1:14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"/>
    </row>
    <row r="150" spans="1:14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"/>
    </row>
    <row r="151" spans="1:14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"/>
    </row>
    <row r="152" spans="1:14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"/>
    </row>
    <row r="153" spans="1:14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"/>
    </row>
    <row r="154" spans="1:14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"/>
    </row>
    <row r="155" spans="1:14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"/>
    </row>
  </sheetData>
  <mergeCells count="2">
    <mergeCell ref="A1:N2"/>
    <mergeCell ref="A3:N3"/>
  </mergeCells>
  <dataValidations count="1">
    <dataValidation type="list" allowBlank="1" showErrorMessage="1" errorTitle="Choose from the list" error="Choose a value from the dropdown, or add a custom option on Customize Lists." sqref="D6:D155" xr:uid="{00000000-0002-0000-0B00-000000000000}">
      <formula1>INDIRECT("'Customize Lists'!$G$103:$G$113")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05"/>
  <sheetViews>
    <sheetView workbookViewId="0">
      <selection sqref="A1:N2"/>
    </sheetView>
  </sheetViews>
  <sheetFormatPr defaultRowHeight="14.25"/>
  <cols>
    <col min="1" max="1" width="12" customWidth="1"/>
    <col min="2" max="2" width="30" customWidth="1"/>
    <col min="3" max="3" width="22" customWidth="1"/>
    <col min="4" max="5" width="28" customWidth="1"/>
    <col min="6" max="6" width="40" customWidth="1"/>
    <col min="7" max="7" width="28" customWidth="1"/>
    <col min="8" max="8" width="22" customWidth="1"/>
    <col min="9" max="9" width="34" customWidth="1"/>
    <col min="10" max="10" width="28" customWidth="1"/>
    <col min="11" max="11" width="30" customWidth="1"/>
    <col min="12" max="12" width="15" customWidth="1"/>
    <col min="13" max="13" width="30" customWidth="1"/>
    <col min="14" max="14" width="44" customWidth="1"/>
  </cols>
  <sheetData>
    <row r="1" spans="1:14" ht="32.1" customHeight="1">
      <c r="A1" s="19" t="s">
        <v>637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2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30" t="s">
        <v>638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5" spans="1:14" ht="33.950000000000003" customHeight="1">
      <c r="A5" s="12" t="s">
        <v>226</v>
      </c>
      <c r="B5" s="12" t="s">
        <v>639</v>
      </c>
      <c r="C5" s="12" t="s">
        <v>386</v>
      </c>
      <c r="D5" s="12" t="s">
        <v>387</v>
      </c>
      <c r="E5" s="12" t="s">
        <v>640</v>
      </c>
      <c r="F5" s="12" t="s">
        <v>641</v>
      </c>
      <c r="G5" s="12" t="s">
        <v>642</v>
      </c>
      <c r="H5" s="12" t="s">
        <v>643</v>
      </c>
      <c r="I5" s="12" t="s">
        <v>644</v>
      </c>
      <c r="J5" s="12" t="s">
        <v>645</v>
      </c>
      <c r="K5" s="12" t="s">
        <v>646</v>
      </c>
      <c r="L5" s="12" t="s">
        <v>647</v>
      </c>
      <c r="M5" s="12" t="s">
        <v>648</v>
      </c>
      <c r="N5" s="12" t="s">
        <v>61</v>
      </c>
    </row>
    <row r="6" spans="1:14" ht="28.5">
      <c r="A6" s="3">
        <v>46283</v>
      </c>
      <c r="B6" s="1" t="s">
        <v>412</v>
      </c>
      <c r="C6" s="1" t="s">
        <v>649</v>
      </c>
      <c r="D6" s="1" t="s">
        <v>451</v>
      </c>
      <c r="E6" s="1" t="s">
        <v>650</v>
      </c>
      <c r="F6" s="1" t="s">
        <v>651</v>
      </c>
      <c r="G6" s="1" t="s">
        <v>652</v>
      </c>
      <c r="H6" s="1" t="s">
        <v>653</v>
      </c>
      <c r="I6" s="1" t="s">
        <v>654</v>
      </c>
      <c r="J6" s="1" t="s">
        <v>655</v>
      </c>
      <c r="K6" s="1" t="s">
        <v>656</v>
      </c>
      <c r="L6" s="3">
        <v>46286</v>
      </c>
      <c r="M6" s="1"/>
      <c r="N6" s="1" t="s">
        <v>657</v>
      </c>
    </row>
    <row r="7" spans="1:14" ht="28.5">
      <c r="A7" s="3">
        <v>46286</v>
      </c>
      <c r="B7" s="1" t="s">
        <v>412</v>
      </c>
      <c r="C7" s="1" t="s">
        <v>649</v>
      </c>
      <c r="D7" s="1" t="s">
        <v>451</v>
      </c>
      <c r="E7" s="1" t="s">
        <v>650</v>
      </c>
      <c r="F7" s="1" t="s">
        <v>658</v>
      </c>
      <c r="G7" s="1" t="s">
        <v>652</v>
      </c>
      <c r="H7" s="1"/>
      <c r="I7" s="1" t="s">
        <v>659</v>
      </c>
      <c r="J7" s="1" t="s">
        <v>655</v>
      </c>
      <c r="K7" s="1" t="s">
        <v>660</v>
      </c>
      <c r="L7" s="3">
        <v>46288</v>
      </c>
      <c r="M7" s="1"/>
      <c r="N7" s="1" t="s">
        <v>661</v>
      </c>
    </row>
    <row r="8" spans="1:14">
      <c r="A8" s="3">
        <v>46288</v>
      </c>
      <c r="B8" s="1" t="s">
        <v>412</v>
      </c>
      <c r="C8" s="1" t="s">
        <v>649</v>
      </c>
      <c r="D8" s="1" t="s">
        <v>662</v>
      </c>
      <c r="E8" s="1" t="s">
        <v>650</v>
      </c>
      <c r="F8" s="1" t="s">
        <v>663</v>
      </c>
      <c r="G8" s="1" t="s">
        <v>652</v>
      </c>
      <c r="H8" s="1" t="s">
        <v>664</v>
      </c>
      <c r="I8" s="1" t="s">
        <v>665</v>
      </c>
      <c r="J8" s="1" t="s">
        <v>620</v>
      </c>
      <c r="K8" s="1" t="s">
        <v>666</v>
      </c>
      <c r="L8" s="3">
        <v>46290</v>
      </c>
      <c r="M8" s="1" t="s">
        <v>662</v>
      </c>
      <c r="N8" s="1" t="s">
        <v>667</v>
      </c>
    </row>
    <row r="9" spans="1:14" ht="28.5">
      <c r="A9" s="3">
        <v>46300</v>
      </c>
      <c r="B9" s="1" t="s">
        <v>668</v>
      </c>
      <c r="C9" s="1" t="s">
        <v>669</v>
      </c>
      <c r="D9" s="1" t="s">
        <v>670</v>
      </c>
      <c r="E9" s="1" t="s">
        <v>671</v>
      </c>
      <c r="F9" s="1" t="s">
        <v>672</v>
      </c>
      <c r="G9" s="1"/>
      <c r="H9" s="1"/>
      <c r="I9" s="1" t="s">
        <v>673</v>
      </c>
      <c r="J9" s="1" t="s">
        <v>674</v>
      </c>
      <c r="K9" s="1" t="s">
        <v>675</v>
      </c>
      <c r="L9" s="3">
        <v>46307</v>
      </c>
      <c r="M9" s="1"/>
      <c r="N9" s="1" t="s">
        <v>676</v>
      </c>
    </row>
    <row r="10" spans="1:14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3"/>
      <c r="M10" s="1"/>
      <c r="N10" s="1"/>
    </row>
    <row r="11" spans="1:14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  <c r="M11" s="1"/>
      <c r="N11" s="1"/>
    </row>
    <row r="12" spans="1:14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M12" s="1"/>
      <c r="N12" s="1"/>
    </row>
    <row r="13" spans="1:14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3"/>
      <c r="M13" s="1"/>
      <c r="N13" s="1"/>
    </row>
    <row r="14" spans="1: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  <c r="M14" s="1"/>
      <c r="N14" s="1"/>
    </row>
    <row r="15" spans="1:14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  <c r="M15" s="1"/>
      <c r="N15" s="1"/>
    </row>
    <row r="16" spans="1:14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  <c r="M16" s="1"/>
      <c r="N16" s="1"/>
    </row>
    <row r="17" spans="1:14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  <c r="M17" s="1"/>
      <c r="N17" s="1"/>
    </row>
    <row r="18" spans="1:14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3"/>
      <c r="M18" s="1"/>
      <c r="N18" s="1"/>
    </row>
    <row r="19" spans="1:14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3"/>
      <c r="M19" s="1"/>
      <c r="N19" s="1"/>
    </row>
    <row r="20" spans="1:14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</row>
    <row r="21" spans="1:14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1"/>
      <c r="N21" s="1"/>
    </row>
    <row r="22" spans="1:14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3"/>
      <c r="M22" s="1"/>
      <c r="N22" s="1"/>
    </row>
    <row r="23" spans="1:14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3"/>
      <c r="M23" s="1"/>
      <c r="N23" s="1"/>
    </row>
    <row r="24" spans="1:14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3"/>
      <c r="M24" s="1"/>
      <c r="N24" s="1"/>
    </row>
    <row r="25" spans="1:14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3"/>
      <c r="M25" s="1"/>
      <c r="N25" s="1"/>
    </row>
    <row r="26" spans="1:14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3"/>
      <c r="M26" s="1"/>
      <c r="N26" s="1"/>
    </row>
    <row r="27" spans="1:14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3"/>
      <c r="M27" s="1"/>
      <c r="N27" s="1"/>
    </row>
    <row r="28" spans="1:14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3"/>
      <c r="M28" s="1"/>
      <c r="N28" s="1"/>
    </row>
    <row r="29" spans="1:14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3"/>
      <c r="M29" s="1"/>
      <c r="N29" s="1"/>
    </row>
    <row r="30" spans="1:14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3"/>
      <c r="M30" s="1"/>
      <c r="N30" s="1"/>
    </row>
    <row r="31" spans="1:14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3"/>
      <c r="M31" s="1"/>
      <c r="N31" s="1"/>
    </row>
    <row r="32" spans="1:14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3"/>
      <c r="M32" s="1"/>
      <c r="N32" s="1"/>
    </row>
    <row r="33" spans="1:14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</row>
    <row r="34" spans="1:14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</row>
    <row r="35" spans="1:14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</row>
    <row r="36" spans="1:14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</row>
    <row r="37" spans="1:14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</row>
    <row r="38" spans="1:14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</row>
    <row r="39" spans="1:14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</row>
    <row r="40" spans="1:14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</row>
    <row r="41" spans="1:14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</row>
    <row r="42" spans="1:14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</row>
    <row r="43" spans="1:14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</row>
    <row r="44" spans="1:14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</row>
    <row r="45" spans="1:14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</row>
    <row r="46" spans="1:14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</row>
    <row r="47" spans="1:14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</row>
    <row r="48" spans="1:14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</row>
    <row r="49" spans="1:14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</row>
    <row r="50" spans="1:14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</row>
    <row r="51" spans="1:14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</row>
    <row r="52" spans="1:14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</row>
    <row r="53" spans="1:14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</row>
    <row r="55" spans="1:14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</row>
    <row r="57" spans="1:14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  <row r="58" spans="1:14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</row>
    <row r="59" spans="1:14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</row>
    <row r="60" spans="1:14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</row>
    <row r="61" spans="1:14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</row>
    <row r="62" spans="1:14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</row>
    <row r="63" spans="1:14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</row>
    <row r="64" spans="1:14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</row>
    <row r="65" spans="1:14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</row>
    <row r="66" spans="1:14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</row>
    <row r="67" spans="1:14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</row>
    <row r="68" spans="1:14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</row>
    <row r="69" spans="1:14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</row>
    <row r="70" spans="1:14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</row>
    <row r="71" spans="1:14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</row>
    <row r="72" spans="1:14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</row>
    <row r="73" spans="1:14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</row>
    <row r="74" spans="1:1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</row>
    <row r="75" spans="1:14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</row>
    <row r="76" spans="1:14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</row>
    <row r="77" spans="1:14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</row>
    <row r="78" spans="1:14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</row>
    <row r="79" spans="1:14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</row>
    <row r="80" spans="1:14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</row>
    <row r="81" spans="1:14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</row>
    <row r="82" spans="1:14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</row>
    <row r="83" spans="1:14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</row>
    <row r="84" spans="1:14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</row>
    <row r="85" spans="1:14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</row>
    <row r="86" spans="1:14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</row>
    <row r="87" spans="1:14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</row>
    <row r="88" spans="1:14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</row>
    <row r="89" spans="1:14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</row>
    <row r="90" spans="1:1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</row>
    <row r="91" spans="1:14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</row>
    <row r="92" spans="1:1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</row>
    <row r="93" spans="1:14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</row>
    <row r="94" spans="1:1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</row>
    <row r="95" spans="1:14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</row>
    <row r="96" spans="1:14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</row>
    <row r="97" spans="1:14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</row>
    <row r="98" spans="1:14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</row>
    <row r="99" spans="1:14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</row>
    <row r="100" spans="1:14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1"/>
      <c r="N100" s="1"/>
    </row>
    <row r="101" spans="1:14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</row>
    <row r="102" spans="1:14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</row>
    <row r="103" spans="1:14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</row>
    <row r="104" spans="1:1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</row>
    <row r="105" spans="1:14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</row>
    <row r="106" spans="1:14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</row>
    <row r="107" spans="1:14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</row>
    <row r="108" spans="1:14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</row>
    <row r="109" spans="1:14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</row>
    <row r="110" spans="1:14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</row>
    <row r="111" spans="1:14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</row>
    <row r="112" spans="1:14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</row>
    <row r="113" spans="1:14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</row>
    <row r="114" spans="1:14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</row>
    <row r="115" spans="1:14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</row>
    <row r="116" spans="1:14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</row>
    <row r="117" spans="1:14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</row>
    <row r="118" spans="1:14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</row>
    <row r="119" spans="1:14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</row>
    <row r="120" spans="1:14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</row>
    <row r="121" spans="1:14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</row>
    <row r="122" spans="1:14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</row>
    <row r="123" spans="1:14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</row>
    <row r="124" spans="1:14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</row>
    <row r="125" spans="1:14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</row>
    <row r="126" spans="1:14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</row>
    <row r="127" spans="1:14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</row>
    <row r="128" spans="1:14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</row>
    <row r="129" spans="1:14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</row>
    <row r="130" spans="1:14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</row>
    <row r="131" spans="1:14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</row>
    <row r="132" spans="1:14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</row>
    <row r="133" spans="1:14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</row>
    <row r="134" spans="1:14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</row>
    <row r="135" spans="1:14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</row>
    <row r="136" spans="1:14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</row>
    <row r="137" spans="1:14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</row>
    <row r="138" spans="1:14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</row>
    <row r="139" spans="1:14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</row>
    <row r="140" spans="1:14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</row>
    <row r="141" spans="1:14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</row>
    <row r="142" spans="1:14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</row>
    <row r="143" spans="1:14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</row>
    <row r="144" spans="1:14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</row>
    <row r="145" spans="1:14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</row>
    <row r="146" spans="1:14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</row>
    <row r="147" spans="1:14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</row>
    <row r="148" spans="1:14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</row>
    <row r="149" spans="1:14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</row>
    <row r="150" spans="1:14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</row>
    <row r="151" spans="1:14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</row>
    <row r="152" spans="1:14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</row>
    <row r="153" spans="1:14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</row>
    <row r="154" spans="1:14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</row>
    <row r="155" spans="1:14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</row>
    <row r="156" spans="1:14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</row>
    <row r="157" spans="1:14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</row>
    <row r="158" spans="1:14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</row>
    <row r="159" spans="1:14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</row>
    <row r="160" spans="1:14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</row>
    <row r="161" spans="1:14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</row>
    <row r="162" spans="1:14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</row>
    <row r="163" spans="1:14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</row>
    <row r="164" spans="1:14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</row>
    <row r="165" spans="1:14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</row>
    <row r="166" spans="1:14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</row>
    <row r="167" spans="1:14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</row>
    <row r="168" spans="1:14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</row>
    <row r="169" spans="1:14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</row>
    <row r="170" spans="1:14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</row>
    <row r="171" spans="1:14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</row>
    <row r="172" spans="1:14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</row>
    <row r="173" spans="1:14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</row>
    <row r="174" spans="1:14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</row>
    <row r="175" spans="1:14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</row>
    <row r="176" spans="1:14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</row>
    <row r="177" spans="1:14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</row>
    <row r="178" spans="1:14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</row>
    <row r="179" spans="1:14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</row>
    <row r="180" spans="1:14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</row>
    <row r="181" spans="1:14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</row>
    <row r="182" spans="1:14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</row>
    <row r="183" spans="1:14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</row>
    <row r="184" spans="1:14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</row>
    <row r="185" spans="1:14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</row>
    <row r="186" spans="1:14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</row>
    <row r="187" spans="1:14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</row>
    <row r="188" spans="1:14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</row>
    <row r="189" spans="1:14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</row>
    <row r="190" spans="1:14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</row>
    <row r="191" spans="1:14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</row>
    <row r="192" spans="1:14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</row>
    <row r="193" spans="1:14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</row>
    <row r="194" spans="1:14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</row>
    <row r="195" spans="1:14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</row>
    <row r="196" spans="1:14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</row>
    <row r="197" spans="1:14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</row>
    <row r="198" spans="1:14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</row>
    <row r="199" spans="1:14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</row>
    <row r="200" spans="1:14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</row>
    <row r="201" spans="1:14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</row>
    <row r="202" spans="1:14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</row>
    <row r="203" spans="1:14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</row>
    <row r="204" spans="1:14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</row>
    <row r="205" spans="1:14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</row>
  </sheetData>
  <mergeCells count="2">
    <mergeCell ref="A1:N2"/>
    <mergeCell ref="A3:N3"/>
  </mergeCells>
  <dataValidations count="2">
    <dataValidation type="list" allowBlank="1" showErrorMessage="1" errorTitle="Choose from the list" error="Choose a value from the dropdown, or add a custom option on Customize Lists." sqref="C6:C205" xr:uid="{00000000-0002-0000-0C00-000000000000}">
      <formula1>INDIRECT("'Customize Lists'!$A$127:$A$141")</formula1>
    </dataValidation>
    <dataValidation type="list" allowBlank="1" showErrorMessage="1" errorTitle="Choose from the list" error="Choose a value from the dropdown, or add a custom option on Customize Lists." sqref="D6:D205" xr:uid="{00000000-0002-0000-0C00-000001000000}">
      <formula1>INDIRECT("'Customize Lists'!$C$127:$C$142")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>
      <selection sqref="A1:H2"/>
    </sheetView>
  </sheetViews>
  <sheetFormatPr defaultRowHeight="14.25"/>
  <cols>
    <col min="1" max="1" width="12" customWidth="1"/>
    <col min="2" max="2" width="32" customWidth="1"/>
    <col min="3" max="3" width="24" customWidth="1"/>
    <col min="4" max="4" width="28" customWidth="1"/>
    <col min="5" max="6" width="42" customWidth="1"/>
    <col min="7" max="7" width="34" customWidth="1"/>
    <col min="8" max="8" width="44" customWidth="1"/>
  </cols>
  <sheetData>
    <row r="1" spans="1:8" ht="32.1" customHeight="1">
      <c r="A1" s="19" t="s">
        <v>52</v>
      </c>
      <c r="B1" s="20"/>
      <c r="C1" s="20"/>
      <c r="D1" s="20"/>
      <c r="E1" s="20"/>
      <c r="F1" s="20"/>
      <c r="G1" s="20"/>
      <c r="H1" s="20"/>
    </row>
    <row r="2" spans="1:8" ht="32.1" customHeight="1">
      <c r="A2" s="20"/>
      <c r="B2" s="20"/>
      <c r="C2" s="20"/>
      <c r="D2" s="20"/>
      <c r="E2" s="20"/>
      <c r="F2" s="20"/>
      <c r="G2" s="20"/>
      <c r="H2" s="20"/>
    </row>
    <row r="3" spans="1:8">
      <c r="A3" s="30" t="s">
        <v>677</v>
      </c>
      <c r="B3" s="31"/>
      <c r="C3" s="31"/>
      <c r="D3" s="31"/>
      <c r="E3" s="31"/>
      <c r="F3" s="31"/>
      <c r="G3" s="31"/>
      <c r="H3" s="31"/>
    </row>
    <row r="5" spans="1:8" ht="33.950000000000003" customHeight="1">
      <c r="A5" s="12" t="s">
        <v>226</v>
      </c>
      <c r="B5" s="12" t="s">
        <v>678</v>
      </c>
      <c r="C5" s="12" t="s">
        <v>387</v>
      </c>
      <c r="D5" s="12" t="s">
        <v>679</v>
      </c>
      <c r="E5" s="12" t="s">
        <v>680</v>
      </c>
      <c r="F5" s="12" t="s">
        <v>681</v>
      </c>
      <c r="G5" s="12" t="s">
        <v>646</v>
      </c>
      <c r="H5" s="12" t="s">
        <v>61</v>
      </c>
    </row>
    <row r="6" spans="1:8" ht="28.5">
      <c r="A6" s="3">
        <v>45601</v>
      </c>
      <c r="B6" s="1" t="s">
        <v>682</v>
      </c>
      <c r="C6" s="1" t="s">
        <v>683</v>
      </c>
      <c r="D6" s="1" t="s">
        <v>423</v>
      </c>
      <c r="E6" s="1" t="s">
        <v>684</v>
      </c>
      <c r="F6" s="1" t="s">
        <v>685</v>
      </c>
      <c r="G6" s="1" t="s">
        <v>686</v>
      </c>
      <c r="H6" s="1" t="s">
        <v>687</v>
      </c>
    </row>
    <row r="7" spans="1:8" ht="28.5">
      <c r="A7" s="3">
        <v>45700</v>
      </c>
      <c r="B7" s="1" t="s">
        <v>682</v>
      </c>
      <c r="C7" s="1" t="s">
        <v>688</v>
      </c>
      <c r="D7" s="1" t="s">
        <v>407</v>
      </c>
      <c r="E7" s="1" t="s">
        <v>689</v>
      </c>
      <c r="F7" s="1" t="s">
        <v>690</v>
      </c>
      <c r="G7" s="1" t="s">
        <v>691</v>
      </c>
      <c r="H7" s="1" t="s">
        <v>692</v>
      </c>
    </row>
    <row r="8" spans="1:8" ht="28.5">
      <c r="A8" s="3">
        <v>46286</v>
      </c>
      <c r="B8" s="1" t="s">
        <v>693</v>
      </c>
      <c r="C8" s="1" t="s">
        <v>694</v>
      </c>
      <c r="D8" s="1" t="s">
        <v>407</v>
      </c>
      <c r="E8" s="1" t="s">
        <v>695</v>
      </c>
      <c r="F8" s="1" t="s">
        <v>696</v>
      </c>
      <c r="G8" s="1" t="s">
        <v>697</v>
      </c>
      <c r="H8" s="1" t="s">
        <v>698</v>
      </c>
    </row>
    <row r="9" spans="1:8" ht="28.5">
      <c r="A9" s="3">
        <v>46303</v>
      </c>
      <c r="B9" s="1" t="s">
        <v>699</v>
      </c>
      <c r="C9" s="1" t="s">
        <v>700</v>
      </c>
      <c r="D9" s="1" t="s">
        <v>407</v>
      </c>
      <c r="E9" s="1" t="s">
        <v>701</v>
      </c>
      <c r="F9" s="1" t="s">
        <v>702</v>
      </c>
      <c r="G9" s="1" t="s">
        <v>703</v>
      </c>
      <c r="H9" s="1" t="s">
        <v>704</v>
      </c>
    </row>
    <row r="10" spans="1:8">
      <c r="A10" s="3"/>
      <c r="B10" s="1"/>
      <c r="C10" s="1"/>
      <c r="D10" s="1"/>
      <c r="E10" s="1"/>
      <c r="F10" s="1"/>
      <c r="G10" s="1"/>
      <c r="H10" s="1"/>
    </row>
    <row r="11" spans="1:8">
      <c r="A11" s="3"/>
      <c r="B11" s="1"/>
      <c r="C11" s="1"/>
      <c r="D11" s="1"/>
      <c r="E11" s="1"/>
      <c r="F11" s="1"/>
      <c r="G11" s="1"/>
      <c r="H11" s="1"/>
    </row>
    <row r="12" spans="1:8">
      <c r="A12" s="3"/>
      <c r="B12" s="1"/>
      <c r="C12" s="1"/>
      <c r="D12" s="1"/>
      <c r="E12" s="1"/>
      <c r="F12" s="1"/>
      <c r="G12" s="1"/>
      <c r="H12" s="1"/>
    </row>
    <row r="13" spans="1:8">
      <c r="A13" s="3"/>
      <c r="B13" s="1"/>
      <c r="C13" s="1"/>
      <c r="D13" s="1"/>
      <c r="E13" s="1"/>
      <c r="F13" s="1"/>
      <c r="G13" s="1"/>
      <c r="H13" s="1"/>
    </row>
    <row r="14" spans="1:8">
      <c r="A14" s="3"/>
      <c r="B14" s="1"/>
      <c r="C14" s="1"/>
      <c r="D14" s="1"/>
      <c r="E14" s="1"/>
      <c r="F14" s="1"/>
      <c r="G14" s="1"/>
      <c r="H14" s="1"/>
    </row>
    <row r="15" spans="1:8">
      <c r="A15" s="3"/>
      <c r="B15" s="1"/>
      <c r="C15" s="1"/>
      <c r="D15" s="1"/>
      <c r="E15" s="1"/>
      <c r="F15" s="1"/>
      <c r="G15" s="1"/>
      <c r="H15" s="1"/>
    </row>
    <row r="16" spans="1:8">
      <c r="A16" s="3"/>
      <c r="B16" s="1"/>
      <c r="C16" s="1"/>
      <c r="D16" s="1"/>
      <c r="E16" s="1"/>
      <c r="F16" s="1"/>
      <c r="G16" s="1"/>
      <c r="H16" s="1"/>
    </row>
    <row r="17" spans="1:8">
      <c r="A17" s="3"/>
      <c r="B17" s="1"/>
      <c r="C17" s="1"/>
      <c r="D17" s="1"/>
      <c r="E17" s="1"/>
      <c r="F17" s="1"/>
      <c r="G17" s="1"/>
      <c r="H17" s="1"/>
    </row>
    <row r="18" spans="1:8">
      <c r="A18" s="3"/>
      <c r="B18" s="1"/>
      <c r="C18" s="1"/>
      <c r="D18" s="1"/>
      <c r="E18" s="1"/>
      <c r="F18" s="1"/>
      <c r="G18" s="1"/>
      <c r="H18" s="1"/>
    </row>
    <row r="19" spans="1:8">
      <c r="A19" s="3"/>
      <c r="B19" s="1"/>
      <c r="C19" s="1"/>
      <c r="D19" s="1"/>
      <c r="E19" s="1"/>
      <c r="F19" s="1"/>
      <c r="G19" s="1"/>
      <c r="H19" s="1"/>
    </row>
    <row r="20" spans="1:8">
      <c r="A20" s="3"/>
      <c r="B20" s="1"/>
      <c r="C20" s="1"/>
      <c r="D20" s="1"/>
      <c r="E20" s="1"/>
      <c r="F20" s="1"/>
      <c r="G20" s="1"/>
      <c r="H20" s="1"/>
    </row>
    <row r="21" spans="1:8">
      <c r="A21" s="3"/>
      <c r="B21" s="1"/>
      <c r="C21" s="1"/>
      <c r="D21" s="1"/>
      <c r="E21" s="1"/>
      <c r="F21" s="1"/>
      <c r="G21" s="1"/>
      <c r="H21" s="1"/>
    </row>
    <row r="22" spans="1:8">
      <c r="A22" s="3"/>
      <c r="B22" s="1"/>
      <c r="C22" s="1"/>
      <c r="D22" s="1"/>
      <c r="E22" s="1"/>
      <c r="F22" s="1"/>
      <c r="G22" s="1"/>
      <c r="H22" s="1"/>
    </row>
    <row r="23" spans="1:8">
      <c r="A23" s="3"/>
      <c r="B23" s="1"/>
      <c r="C23" s="1"/>
      <c r="D23" s="1"/>
      <c r="E23" s="1"/>
      <c r="F23" s="1"/>
      <c r="G23" s="1"/>
      <c r="H23" s="1"/>
    </row>
    <row r="24" spans="1:8">
      <c r="A24" s="3"/>
      <c r="B24" s="1"/>
      <c r="C24" s="1"/>
      <c r="D24" s="1"/>
      <c r="E24" s="1"/>
      <c r="F24" s="1"/>
      <c r="G24" s="1"/>
      <c r="H24" s="1"/>
    </row>
    <row r="25" spans="1:8">
      <c r="A25" s="3"/>
      <c r="B25" s="1"/>
      <c r="C25" s="1"/>
      <c r="D25" s="1"/>
      <c r="E25" s="1"/>
      <c r="F25" s="1"/>
      <c r="G25" s="1"/>
      <c r="H25" s="1"/>
    </row>
    <row r="26" spans="1:8">
      <c r="A26" s="3"/>
      <c r="B26" s="1"/>
      <c r="C26" s="1"/>
      <c r="D26" s="1"/>
      <c r="E26" s="1"/>
      <c r="F26" s="1"/>
      <c r="G26" s="1"/>
      <c r="H26" s="1"/>
    </row>
    <row r="27" spans="1:8">
      <c r="A27" s="3"/>
      <c r="B27" s="1"/>
      <c r="C27" s="1"/>
      <c r="D27" s="1"/>
      <c r="E27" s="1"/>
      <c r="F27" s="1"/>
      <c r="G27" s="1"/>
      <c r="H27" s="1"/>
    </row>
    <row r="28" spans="1:8">
      <c r="A28" s="3"/>
      <c r="B28" s="1"/>
      <c r="C28" s="1"/>
      <c r="D28" s="1"/>
      <c r="E28" s="1"/>
      <c r="F28" s="1"/>
      <c r="G28" s="1"/>
      <c r="H28" s="1"/>
    </row>
    <row r="29" spans="1:8">
      <c r="A29" s="3"/>
      <c r="B29" s="1"/>
      <c r="C29" s="1"/>
      <c r="D29" s="1"/>
      <c r="E29" s="1"/>
      <c r="F29" s="1"/>
      <c r="G29" s="1"/>
      <c r="H29" s="1"/>
    </row>
    <row r="30" spans="1:8">
      <c r="A30" s="3"/>
      <c r="B30" s="1"/>
      <c r="C30" s="1"/>
      <c r="D30" s="1"/>
      <c r="E30" s="1"/>
      <c r="F30" s="1"/>
      <c r="G30" s="1"/>
      <c r="H30" s="1"/>
    </row>
    <row r="31" spans="1:8">
      <c r="A31" s="3"/>
      <c r="B31" s="1"/>
      <c r="C31" s="1"/>
      <c r="D31" s="1"/>
      <c r="E31" s="1"/>
      <c r="F31" s="1"/>
      <c r="G31" s="1"/>
      <c r="H31" s="1"/>
    </row>
    <row r="32" spans="1:8">
      <c r="A32" s="3"/>
      <c r="B32" s="1"/>
      <c r="C32" s="1"/>
      <c r="D32" s="1"/>
      <c r="E32" s="1"/>
      <c r="F32" s="1"/>
      <c r="G32" s="1"/>
      <c r="H32" s="1"/>
    </row>
    <row r="33" spans="1:8">
      <c r="A33" s="3"/>
      <c r="B33" s="1"/>
      <c r="C33" s="1"/>
      <c r="D33" s="1"/>
      <c r="E33" s="1"/>
      <c r="F33" s="1"/>
      <c r="G33" s="1"/>
      <c r="H33" s="1"/>
    </row>
    <row r="34" spans="1:8">
      <c r="A34" s="3"/>
      <c r="B34" s="1"/>
      <c r="C34" s="1"/>
      <c r="D34" s="1"/>
      <c r="E34" s="1"/>
      <c r="F34" s="1"/>
      <c r="G34" s="1"/>
      <c r="H34" s="1"/>
    </row>
    <row r="35" spans="1:8">
      <c r="A35" s="3"/>
      <c r="B35" s="1"/>
      <c r="C35" s="1"/>
      <c r="D35" s="1"/>
      <c r="E35" s="1"/>
      <c r="F35" s="1"/>
      <c r="G35" s="1"/>
      <c r="H35" s="1"/>
    </row>
    <row r="36" spans="1:8">
      <c r="A36" s="3"/>
      <c r="B36" s="1"/>
      <c r="C36" s="1"/>
      <c r="D36" s="1"/>
      <c r="E36" s="1"/>
      <c r="F36" s="1"/>
      <c r="G36" s="1"/>
      <c r="H36" s="1"/>
    </row>
    <row r="37" spans="1:8">
      <c r="A37" s="3"/>
      <c r="B37" s="1"/>
      <c r="C37" s="1"/>
      <c r="D37" s="1"/>
      <c r="E37" s="1"/>
      <c r="F37" s="1"/>
      <c r="G37" s="1"/>
      <c r="H37" s="1"/>
    </row>
    <row r="38" spans="1:8">
      <c r="A38" s="3"/>
      <c r="B38" s="1"/>
      <c r="C38" s="1"/>
      <c r="D38" s="1"/>
      <c r="E38" s="1"/>
      <c r="F38" s="1"/>
      <c r="G38" s="1"/>
      <c r="H38" s="1"/>
    </row>
    <row r="39" spans="1:8">
      <c r="A39" s="3"/>
      <c r="B39" s="1"/>
      <c r="C39" s="1"/>
      <c r="D39" s="1"/>
      <c r="E39" s="1"/>
      <c r="F39" s="1"/>
      <c r="G39" s="1"/>
      <c r="H39" s="1"/>
    </row>
    <row r="40" spans="1:8">
      <c r="A40" s="3"/>
      <c r="B40" s="1"/>
      <c r="C40" s="1"/>
      <c r="D40" s="1"/>
      <c r="E40" s="1"/>
      <c r="F40" s="1"/>
      <c r="G40" s="1"/>
      <c r="H40" s="1"/>
    </row>
    <row r="41" spans="1:8">
      <c r="A41" s="3"/>
      <c r="B41" s="1"/>
      <c r="C41" s="1"/>
      <c r="D41" s="1"/>
      <c r="E41" s="1"/>
      <c r="F41" s="1"/>
      <c r="G41" s="1"/>
      <c r="H41" s="1"/>
    </row>
    <row r="42" spans="1:8">
      <c r="A42" s="3"/>
      <c r="B42" s="1"/>
      <c r="C42" s="1"/>
      <c r="D42" s="1"/>
      <c r="E42" s="1"/>
      <c r="F42" s="1"/>
      <c r="G42" s="1"/>
      <c r="H42" s="1"/>
    </row>
    <row r="43" spans="1:8">
      <c r="A43" s="3"/>
      <c r="B43" s="1"/>
      <c r="C43" s="1"/>
      <c r="D43" s="1"/>
      <c r="E43" s="1"/>
      <c r="F43" s="1"/>
      <c r="G43" s="1"/>
      <c r="H43" s="1"/>
    </row>
    <row r="44" spans="1:8">
      <c r="A44" s="3"/>
      <c r="B44" s="1"/>
      <c r="C44" s="1"/>
      <c r="D44" s="1"/>
      <c r="E44" s="1"/>
      <c r="F44" s="1"/>
      <c r="G44" s="1"/>
      <c r="H44" s="1"/>
    </row>
    <row r="45" spans="1:8">
      <c r="A45" s="3"/>
      <c r="B45" s="1"/>
      <c r="C45" s="1"/>
      <c r="D45" s="1"/>
      <c r="E45" s="1"/>
      <c r="F45" s="1"/>
      <c r="G45" s="1"/>
      <c r="H45" s="1"/>
    </row>
    <row r="46" spans="1:8">
      <c r="A46" s="3"/>
      <c r="B46" s="1"/>
      <c r="C46" s="1"/>
      <c r="D46" s="1"/>
      <c r="E46" s="1"/>
      <c r="F46" s="1"/>
      <c r="G46" s="1"/>
      <c r="H46" s="1"/>
    </row>
    <row r="47" spans="1:8">
      <c r="A47" s="3"/>
      <c r="B47" s="1"/>
      <c r="C47" s="1"/>
      <c r="D47" s="1"/>
      <c r="E47" s="1"/>
      <c r="F47" s="1"/>
      <c r="G47" s="1"/>
      <c r="H47" s="1"/>
    </row>
    <row r="48" spans="1:8">
      <c r="A48" s="3"/>
      <c r="B48" s="1"/>
      <c r="C48" s="1"/>
      <c r="D48" s="1"/>
      <c r="E48" s="1"/>
      <c r="F48" s="1"/>
      <c r="G48" s="1"/>
      <c r="H48" s="1"/>
    </row>
    <row r="49" spans="1:8">
      <c r="A49" s="3"/>
      <c r="B49" s="1"/>
      <c r="C49" s="1"/>
      <c r="D49" s="1"/>
      <c r="E49" s="1"/>
      <c r="F49" s="1"/>
      <c r="G49" s="1"/>
      <c r="H49" s="1"/>
    </row>
    <row r="50" spans="1:8">
      <c r="A50" s="3"/>
      <c r="B50" s="1"/>
      <c r="C50" s="1"/>
      <c r="D50" s="1"/>
      <c r="E50" s="1"/>
      <c r="F50" s="1"/>
      <c r="G50" s="1"/>
      <c r="H50" s="1"/>
    </row>
    <row r="51" spans="1:8">
      <c r="A51" s="3"/>
      <c r="B51" s="1"/>
      <c r="C51" s="1"/>
      <c r="D51" s="1"/>
      <c r="E51" s="1"/>
      <c r="F51" s="1"/>
      <c r="G51" s="1"/>
      <c r="H51" s="1"/>
    </row>
    <row r="52" spans="1:8">
      <c r="A52" s="3"/>
      <c r="B52" s="1"/>
      <c r="C52" s="1"/>
      <c r="D52" s="1"/>
      <c r="E52" s="1"/>
      <c r="F52" s="1"/>
      <c r="G52" s="1"/>
      <c r="H52" s="1"/>
    </row>
    <row r="53" spans="1:8">
      <c r="A53" s="3"/>
      <c r="B53" s="1"/>
      <c r="C53" s="1"/>
      <c r="D53" s="1"/>
      <c r="E53" s="1"/>
      <c r="F53" s="1"/>
      <c r="G53" s="1"/>
      <c r="H53" s="1"/>
    </row>
    <row r="54" spans="1:8">
      <c r="A54" s="3"/>
      <c r="B54" s="1"/>
      <c r="C54" s="1"/>
      <c r="D54" s="1"/>
      <c r="E54" s="1"/>
      <c r="F54" s="1"/>
      <c r="G54" s="1"/>
      <c r="H54" s="1"/>
    </row>
    <row r="55" spans="1:8">
      <c r="A55" s="3"/>
      <c r="B55" s="1"/>
      <c r="C55" s="1"/>
      <c r="D55" s="1"/>
      <c r="E55" s="1"/>
      <c r="F55" s="1"/>
      <c r="G55" s="1"/>
      <c r="H55" s="1"/>
    </row>
    <row r="56" spans="1:8">
      <c r="A56" s="3"/>
      <c r="B56" s="1"/>
      <c r="C56" s="1"/>
      <c r="D56" s="1"/>
      <c r="E56" s="1"/>
      <c r="F56" s="1"/>
      <c r="G56" s="1"/>
      <c r="H56" s="1"/>
    </row>
    <row r="57" spans="1:8">
      <c r="A57" s="3"/>
      <c r="B57" s="1"/>
      <c r="C57" s="1"/>
      <c r="D57" s="1"/>
      <c r="E57" s="1"/>
      <c r="F57" s="1"/>
      <c r="G57" s="1"/>
      <c r="H57" s="1"/>
    </row>
    <row r="58" spans="1:8">
      <c r="A58" s="3"/>
      <c r="B58" s="1"/>
      <c r="C58" s="1"/>
      <c r="D58" s="1"/>
      <c r="E58" s="1"/>
      <c r="F58" s="1"/>
      <c r="G58" s="1"/>
      <c r="H58" s="1"/>
    </row>
    <row r="59" spans="1:8">
      <c r="A59" s="3"/>
      <c r="B59" s="1"/>
      <c r="C59" s="1"/>
      <c r="D59" s="1"/>
      <c r="E59" s="1"/>
      <c r="F59" s="1"/>
      <c r="G59" s="1"/>
      <c r="H59" s="1"/>
    </row>
    <row r="60" spans="1:8">
      <c r="A60" s="3"/>
      <c r="B60" s="1"/>
      <c r="C60" s="1"/>
      <c r="D60" s="1"/>
      <c r="E60" s="1"/>
      <c r="F60" s="1"/>
      <c r="G60" s="1"/>
      <c r="H60" s="1"/>
    </row>
    <row r="61" spans="1:8">
      <c r="A61" s="3"/>
      <c r="B61" s="1"/>
      <c r="C61" s="1"/>
      <c r="D61" s="1"/>
      <c r="E61" s="1"/>
      <c r="F61" s="1"/>
      <c r="G61" s="1"/>
      <c r="H61" s="1"/>
    </row>
    <row r="62" spans="1:8">
      <c r="A62" s="3"/>
      <c r="B62" s="1"/>
      <c r="C62" s="1"/>
      <c r="D62" s="1"/>
      <c r="E62" s="1"/>
      <c r="F62" s="1"/>
      <c r="G62" s="1"/>
      <c r="H62" s="1"/>
    </row>
    <row r="63" spans="1:8">
      <c r="A63" s="3"/>
      <c r="B63" s="1"/>
      <c r="C63" s="1"/>
      <c r="D63" s="1"/>
      <c r="E63" s="1"/>
      <c r="F63" s="1"/>
      <c r="G63" s="1"/>
      <c r="H63" s="1"/>
    </row>
    <row r="64" spans="1:8">
      <c r="A64" s="3"/>
      <c r="B64" s="1"/>
      <c r="C64" s="1"/>
      <c r="D64" s="1"/>
      <c r="E64" s="1"/>
      <c r="F64" s="1"/>
      <c r="G64" s="1"/>
      <c r="H64" s="1"/>
    </row>
    <row r="65" spans="1:8">
      <c r="A65" s="3"/>
      <c r="B65" s="1"/>
      <c r="C65" s="1"/>
      <c r="D65" s="1"/>
      <c r="E65" s="1"/>
      <c r="F65" s="1"/>
      <c r="G65" s="1"/>
      <c r="H65" s="1"/>
    </row>
    <row r="66" spans="1:8">
      <c r="A66" s="3"/>
      <c r="B66" s="1"/>
      <c r="C66" s="1"/>
      <c r="D66" s="1"/>
      <c r="E66" s="1"/>
      <c r="F66" s="1"/>
      <c r="G66" s="1"/>
      <c r="H66" s="1"/>
    </row>
    <row r="67" spans="1:8">
      <c r="A67" s="3"/>
      <c r="B67" s="1"/>
      <c r="C67" s="1"/>
      <c r="D67" s="1"/>
      <c r="E67" s="1"/>
      <c r="F67" s="1"/>
      <c r="G67" s="1"/>
      <c r="H67" s="1"/>
    </row>
    <row r="68" spans="1:8">
      <c r="A68" s="3"/>
      <c r="B68" s="1"/>
      <c r="C68" s="1"/>
      <c r="D68" s="1"/>
      <c r="E68" s="1"/>
      <c r="F68" s="1"/>
      <c r="G68" s="1"/>
      <c r="H68" s="1"/>
    </row>
    <row r="69" spans="1:8">
      <c r="A69" s="3"/>
      <c r="B69" s="1"/>
      <c r="C69" s="1"/>
      <c r="D69" s="1"/>
      <c r="E69" s="1"/>
      <c r="F69" s="1"/>
      <c r="G69" s="1"/>
      <c r="H69" s="1"/>
    </row>
    <row r="70" spans="1:8">
      <c r="A70" s="3"/>
      <c r="B70" s="1"/>
      <c r="C70" s="1"/>
      <c r="D70" s="1"/>
      <c r="E70" s="1"/>
      <c r="F70" s="1"/>
      <c r="G70" s="1"/>
      <c r="H70" s="1"/>
    </row>
    <row r="71" spans="1:8">
      <c r="A71" s="3"/>
      <c r="B71" s="1"/>
      <c r="C71" s="1"/>
      <c r="D71" s="1"/>
      <c r="E71" s="1"/>
      <c r="F71" s="1"/>
      <c r="G71" s="1"/>
      <c r="H71" s="1"/>
    </row>
    <row r="72" spans="1:8">
      <c r="A72" s="3"/>
      <c r="B72" s="1"/>
      <c r="C72" s="1"/>
      <c r="D72" s="1"/>
      <c r="E72" s="1"/>
      <c r="F72" s="1"/>
      <c r="G72" s="1"/>
      <c r="H72" s="1"/>
    </row>
    <row r="73" spans="1:8">
      <c r="A73" s="3"/>
      <c r="B73" s="1"/>
      <c r="C73" s="1"/>
      <c r="D73" s="1"/>
      <c r="E73" s="1"/>
      <c r="F73" s="1"/>
      <c r="G73" s="1"/>
      <c r="H73" s="1"/>
    </row>
    <row r="74" spans="1:8">
      <c r="A74" s="3"/>
      <c r="B74" s="1"/>
      <c r="C74" s="1"/>
      <c r="D74" s="1"/>
      <c r="E74" s="1"/>
      <c r="F74" s="1"/>
      <c r="G74" s="1"/>
      <c r="H74" s="1"/>
    </row>
    <row r="75" spans="1:8">
      <c r="A75" s="3"/>
      <c r="B75" s="1"/>
      <c r="C75" s="1"/>
      <c r="D75" s="1"/>
      <c r="E75" s="1"/>
      <c r="F75" s="1"/>
      <c r="G75" s="1"/>
      <c r="H75" s="1"/>
    </row>
    <row r="76" spans="1:8">
      <c r="A76" s="3"/>
      <c r="B76" s="1"/>
      <c r="C76" s="1"/>
      <c r="D76" s="1"/>
      <c r="E76" s="1"/>
      <c r="F76" s="1"/>
      <c r="G76" s="1"/>
      <c r="H76" s="1"/>
    </row>
    <row r="77" spans="1:8">
      <c r="A77" s="3"/>
      <c r="B77" s="1"/>
      <c r="C77" s="1"/>
      <c r="D77" s="1"/>
      <c r="E77" s="1"/>
      <c r="F77" s="1"/>
      <c r="G77" s="1"/>
      <c r="H77" s="1"/>
    </row>
    <row r="78" spans="1:8">
      <c r="A78" s="3"/>
      <c r="B78" s="1"/>
      <c r="C78" s="1"/>
      <c r="D78" s="1"/>
      <c r="E78" s="1"/>
      <c r="F78" s="1"/>
      <c r="G78" s="1"/>
      <c r="H78" s="1"/>
    </row>
    <row r="79" spans="1:8">
      <c r="A79" s="3"/>
      <c r="B79" s="1"/>
      <c r="C79" s="1"/>
      <c r="D79" s="1"/>
      <c r="E79" s="1"/>
      <c r="F79" s="1"/>
      <c r="G79" s="1"/>
      <c r="H79" s="1"/>
    </row>
    <row r="80" spans="1:8">
      <c r="A80" s="3"/>
      <c r="B80" s="1"/>
      <c r="C80" s="1"/>
      <c r="D80" s="1"/>
      <c r="E80" s="1"/>
      <c r="F80" s="1"/>
      <c r="G80" s="1"/>
      <c r="H80" s="1"/>
    </row>
    <row r="81" spans="1:8">
      <c r="A81" s="3"/>
      <c r="B81" s="1"/>
      <c r="C81" s="1"/>
      <c r="D81" s="1"/>
      <c r="E81" s="1"/>
      <c r="F81" s="1"/>
      <c r="G81" s="1"/>
      <c r="H81" s="1"/>
    </row>
    <row r="82" spans="1:8">
      <c r="A82" s="3"/>
      <c r="B82" s="1"/>
      <c r="C82" s="1"/>
      <c r="D82" s="1"/>
      <c r="E82" s="1"/>
      <c r="F82" s="1"/>
      <c r="G82" s="1"/>
      <c r="H82" s="1"/>
    </row>
    <row r="83" spans="1:8">
      <c r="A83" s="3"/>
      <c r="B83" s="1"/>
      <c r="C83" s="1"/>
      <c r="D83" s="1"/>
      <c r="E83" s="1"/>
      <c r="F83" s="1"/>
      <c r="G83" s="1"/>
      <c r="H83" s="1"/>
    </row>
    <row r="84" spans="1:8">
      <c r="A84" s="3"/>
      <c r="B84" s="1"/>
      <c r="C84" s="1"/>
      <c r="D84" s="1"/>
      <c r="E84" s="1"/>
      <c r="F84" s="1"/>
      <c r="G84" s="1"/>
      <c r="H84" s="1"/>
    </row>
    <row r="85" spans="1:8">
      <c r="A85" s="3"/>
      <c r="B85" s="1"/>
      <c r="C85" s="1"/>
      <c r="D85" s="1"/>
      <c r="E85" s="1"/>
      <c r="F85" s="1"/>
      <c r="G85" s="1"/>
      <c r="H85" s="1"/>
    </row>
    <row r="86" spans="1:8">
      <c r="A86" s="3"/>
      <c r="B86" s="1"/>
      <c r="C86" s="1"/>
      <c r="D86" s="1"/>
      <c r="E86" s="1"/>
      <c r="F86" s="1"/>
      <c r="G86" s="1"/>
      <c r="H86" s="1"/>
    </row>
    <row r="87" spans="1:8">
      <c r="A87" s="3"/>
      <c r="B87" s="1"/>
      <c r="C87" s="1"/>
      <c r="D87" s="1"/>
      <c r="E87" s="1"/>
      <c r="F87" s="1"/>
      <c r="G87" s="1"/>
      <c r="H87" s="1"/>
    </row>
    <row r="88" spans="1:8">
      <c r="A88" s="3"/>
      <c r="B88" s="1"/>
      <c r="C88" s="1"/>
      <c r="D88" s="1"/>
      <c r="E88" s="1"/>
      <c r="F88" s="1"/>
      <c r="G88" s="1"/>
      <c r="H88" s="1"/>
    </row>
    <row r="89" spans="1:8">
      <c r="A89" s="3"/>
      <c r="B89" s="1"/>
      <c r="C89" s="1"/>
      <c r="D89" s="1"/>
      <c r="E89" s="1"/>
      <c r="F89" s="1"/>
      <c r="G89" s="1"/>
      <c r="H89" s="1"/>
    </row>
    <row r="90" spans="1:8">
      <c r="A90" s="3"/>
      <c r="B90" s="1"/>
      <c r="C90" s="1"/>
      <c r="D90" s="1"/>
      <c r="E90" s="1"/>
      <c r="F90" s="1"/>
      <c r="G90" s="1"/>
      <c r="H90" s="1"/>
    </row>
    <row r="91" spans="1:8">
      <c r="A91" s="3"/>
      <c r="B91" s="1"/>
      <c r="C91" s="1"/>
      <c r="D91" s="1"/>
      <c r="E91" s="1"/>
      <c r="F91" s="1"/>
      <c r="G91" s="1"/>
      <c r="H91" s="1"/>
    </row>
    <row r="92" spans="1:8">
      <c r="A92" s="3"/>
      <c r="B92" s="1"/>
      <c r="C92" s="1"/>
      <c r="D92" s="1"/>
      <c r="E92" s="1"/>
      <c r="F92" s="1"/>
      <c r="G92" s="1"/>
      <c r="H92" s="1"/>
    </row>
    <row r="93" spans="1:8">
      <c r="A93" s="3"/>
      <c r="B93" s="1"/>
      <c r="C93" s="1"/>
      <c r="D93" s="1"/>
      <c r="E93" s="1"/>
      <c r="F93" s="1"/>
      <c r="G93" s="1"/>
      <c r="H93" s="1"/>
    </row>
    <row r="94" spans="1:8">
      <c r="A94" s="3"/>
      <c r="B94" s="1"/>
      <c r="C94" s="1"/>
      <c r="D94" s="1"/>
      <c r="E94" s="1"/>
      <c r="F94" s="1"/>
      <c r="G94" s="1"/>
      <c r="H94" s="1"/>
    </row>
    <row r="95" spans="1:8">
      <c r="A95" s="3"/>
      <c r="B95" s="1"/>
      <c r="C95" s="1"/>
      <c r="D95" s="1"/>
      <c r="E95" s="1"/>
      <c r="F95" s="1"/>
      <c r="G95" s="1"/>
      <c r="H95" s="1"/>
    </row>
    <row r="96" spans="1:8">
      <c r="A96" s="3"/>
      <c r="B96" s="1"/>
      <c r="C96" s="1"/>
      <c r="D96" s="1"/>
      <c r="E96" s="1"/>
      <c r="F96" s="1"/>
      <c r="G96" s="1"/>
      <c r="H96" s="1"/>
    </row>
    <row r="97" spans="1:8">
      <c r="A97" s="3"/>
      <c r="B97" s="1"/>
      <c r="C97" s="1"/>
      <c r="D97" s="1"/>
      <c r="E97" s="1"/>
      <c r="F97" s="1"/>
      <c r="G97" s="1"/>
      <c r="H97" s="1"/>
    </row>
    <row r="98" spans="1:8">
      <c r="A98" s="3"/>
      <c r="B98" s="1"/>
      <c r="C98" s="1"/>
      <c r="D98" s="1"/>
      <c r="E98" s="1"/>
      <c r="F98" s="1"/>
      <c r="G98" s="1"/>
      <c r="H98" s="1"/>
    </row>
    <row r="99" spans="1:8">
      <c r="A99" s="3"/>
      <c r="B99" s="1"/>
      <c r="C99" s="1"/>
      <c r="D99" s="1"/>
      <c r="E99" s="1"/>
      <c r="F99" s="1"/>
      <c r="G99" s="1"/>
      <c r="H99" s="1"/>
    </row>
    <row r="100" spans="1:8">
      <c r="A100" s="3"/>
      <c r="B100" s="1"/>
      <c r="C100" s="1"/>
      <c r="D100" s="1"/>
      <c r="E100" s="1"/>
      <c r="F100" s="1"/>
      <c r="G100" s="1"/>
      <c r="H100" s="1"/>
    </row>
    <row r="101" spans="1:8">
      <c r="A101" s="3"/>
      <c r="B101" s="1"/>
      <c r="C101" s="1"/>
      <c r="D101" s="1"/>
      <c r="E101" s="1"/>
      <c r="F101" s="1"/>
      <c r="G101" s="1"/>
      <c r="H101" s="1"/>
    </row>
    <row r="102" spans="1:8">
      <c r="A102" s="3"/>
      <c r="B102" s="1"/>
      <c r="C102" s="1"/>
      <c r="D102" s="1"/>
      <c r="E102" s="1"/>
      <c r="F102" s="1"/>
      <c r="G102" s="1"/>
      <c r="H102" s="1"/>
    </row>
    <row r="103" spans="1:8">
      <c r="A103" s="3"/>
      <c r="B103" s="1"/>
      <c r="C103" s="1"/>
      <c r="D103" s="1"/>
      <c r="E103" s="1"/>
      <c r="F103" s="1"/>
      <c r="G103" s="1"/>
      <c r="H103" s="1"/>
    </row>
    <row r="104" spans="1:8">
      <c r="A104" s="3"/>
      <c r="B104" s="1"/>
      <c r="C104" s="1"/>
      <c r="D104" s="1"/>
      <c r="E104" s="1"/>
      <c r="F104" s="1"/>
      <c r="G104" s="1"/>
      <c r="H104" s="1"/>
    </row>
    <row r="105" spans="1:8">
      <c r="A105" s="3"/>
      <c r="B105" s="1"/>
      <c r="C105" s="1"/>
      <c r="D105" s="1"/>
      <c r="E105" s="1"/>
      <c r="F105" s="1"/>
      <c r="G105" s="1"/>
      <c r="H105" s="1"/>
    </row>
    <row r="106" spans="1:8">
      <c r="A106" s="3"/>
      <c r="B106" s="1"/>
      <c r="C106" s="1"/>
      <c r="D106" s="1"/>
      <c r="E106" s="1"/>
      <c r="F106" s="1"/>
      <c r="G106" s="1"/>
      <c r="H106" s="1"/>
    </row>
    <row r="107" spans="1:8">
      <c r="A107" s="3"/>
      <c r="B107" s="1"/>
      <c r="C107" s="1"/>
      <c r="D107" s="1"/>
      <c r="E107" s="1"/>
      <c r="F107" s="1"/>
      <c r="G107" s="1"/>
      <c r="H107" s="1"/>
    </row>
    <row r="108" spans="1:8">
      <c r="A108" s="3"/>
      <c r="B108" s="1"/>
      <c r="C108" s="1"/>
      <c r="D108" s="1"/>
      <c r="E108" s="1"/>
      <c r="F108" s="1"/>
      <c r="G108" s="1"/>
      <c r="H108" s="1"/>
    </row>
    <row r="109" spans="1:8">
      <c r="A109" s="3"/>
      <c r="B109" s="1"/>
      <c r="C109" s="1"/>
      <c r="D109" s="1"/>
      <c r="E109" s="1"/>
      <c r="F109" s="1"/>
      <c r="G109" s="1"/>
      <c r="H109" s="1"/>
    </row>
    <row r="110" spans="1:8">
      <c r="A110" s="3"/>
      <c r="B110" s="1"/>
      <c r="C110" s="1"/>
      <c r="D110" s="1"/>
      <c r="E110" s="1"/>
      <c r="F110" s="1"/>
      <c r="G110" s="1"/>
      <c r="H110" s="1"/>
    </row>
    <row r="111" spans="1:8">
      <c r="A111" s="3"/>
      <c r="B111" s="1"/>
      <c r="C111" s="1"/>
      <c r="D111" s="1"/>
      <c r="E111" s="1"/>
      <c r="F111" s="1"/>
      <c r="G111" s="1"/>
      <c r="H111" s="1"/>
    </row>
    <row r="112" spans="1:8">
      <c r="A112" s="3"/>
      <c r="B112" s="1"/>
      <c r="C112" s="1"/>
      <c r="D112" s="1"/>
      <c r="E112" s="1"/>
      <c r="F112" s="1"/>
      <c r="G112" s="1"/>
      <c r="H112" s="1"/>
    </row>
    <row r="113" spans="1:8">
      <c r="A113" s="3"/>
      <c r="B113" s="1"/>
      <c r="C113" s="1"/>
      <c r="D113" s="1"/>
      <c r="E113" s="1"/>
      <c r="F113" s="1"/>
      <c r="G113" s="1"/>
      <c r="H113" s="1"/>
    </row>
    <row r="114" spans="1:8">
      <c r="A114" s="3"/>
      <c r="B114" s="1"/>
      <c r="C114" s="1"/>
      <c r="D114" s="1"/>
      <c r="E114" s="1"/>
      <c r="F114" s="1"/>
      <c r="G114" s="1"/>
      <c r="H114" s="1"/>
    </row>
    <row r="115" spans="1:8">
      <c r="A115" s="3"/>
      <c r="B115" s="1"/>
      <c r="C115" s="1"/>
      <c r="D115" s="1"/>
      <c r="E115" s="1"/>
      <c r="F115" s="1"/>
      <c r="G115" s="1"/>
      <c r="H115" s="1"/>
    </row>
    <row r="116" spans="1:8">
      <c r="A116" s="3"/>
      <c r="B116" s="1"/>
      <c r="C116" s="1"/>
      <c r="D116" s="1"/>
      <c r="E116" s="1"/>
      <c r="F116" s="1"/>
      <c r="G116" s="1"/>
      <c r="H116" s="1"/>
    </row>
    <row r="117" spans="1:8">
      <c r="A117" s="3"/>
      <c r="B117" s="1"/>
      <c r="C117" s="1"/>
      <c r="D117" s="1"/>
      <c r="E117" s="1"/>
      <c r="F117" s="1"/>
      <c r="G117" s="1"/>
      <c r="H117" s="1"/>
    </row>
    <row r="118" spans="1:8">
      <c r="A118" s="3"/>
      <c r="B118" s="1"/>
      <c r="C118" s="1"/>
      <c r="D118" s="1"/>
      <c r="E118" s="1"/>
      <c r="F118" s="1"/>
      <c r="G118" s="1"/>
      <c r="H118" s="1"/>
    </row>
    <row r="119" spans="1:8">
      <c r="A119" s="3"/>
      <c r="B119" s="1"/>
      <c r="C119" s="1"/>
      <c r="D119" s="1"/>
      <c r="E119" s="1"/>
      <c r="F119" s="1"/>
      <c r="G119" s="1"/>
      <c r="H119" s="1"/>
    </row>
    <row r="120" spans="1:8">
      <c r="A120" s="3"/>
      <c r="B120" s="1"/>
      <c r="C120" s="1"/>
      <c r="D120" s="1"/>
      <c r="E120" s="1"/>
      <c r="F120" s="1"/>
      <c r="G120" s="1"/>
      <c r="H120" s="1"/>
    </row>
    <row r="121" spans="1:8">
      <c r="A121" s="3"/>
      <c r="B121" s="1"/>
      <c r="C121" s="1"/>
      <c r="D121" s="1"/>
      <c r="E121" s="1"/>
      <c r="F121" s="1"/>
      <c r="G121" s="1"/>
      <c r="H121" s="1"/>
    </row>
    <row r="122" spans="1:8">
      <c r="A122" s="3"/>
      <c r="B122" s="1"/>
      <c r="C122" s="1"/>
      <c r="D122" s="1"/>
      <c r="E122" s="1"/>
      <c r="F122" s="1"/>
      <c r="G122" s="1"/>
      <c r="H122" s="1"/>
    </row>
    <row r="123" spans="1:8">
      <c r="A123" s="3"/>
      <c r="B123" s="1"/>
      <c r="C123" s="1"/>
      <c r="D123" s="1"/>
      <c r="E123" s="1"/>
      <c r="F123" s="1"/>
      <c r="G123" s="1"/>
      <c r="H123" s="1"/>
    </row>
    <row r="124" spans="1:8">
      <c r="A124" s="3"/>
      <c r="B124" s="1"/>
      <c r="C124" s="1"/>
      <c r="D124" s="1"/>
      <c r="E124" s="1"/>
      <c r="F124" s="1"/>
      <c r="G124" s="1"/>
      <c r="H124" s="1"/>
    </row>
    <row r="125" spans="1:8">
      <c r="A125" s="3"/>
      <c r="B125" s="1"/>
      <c r="C125" s="1"/>
      <c r="D125" s="1"/>
      <c r="E125" s="1"/>
      <c r="F125" s="1"/>
      <c r="G125" s="1"/>
      <c r="H125" s="1"/>
    </row>
    <row r="126" spans="1:8">
      <c r="A126" s="3"/>
      <c r="B126" s="1"/>
      <c r="C126" s="1"/>
      <c r="D126" s="1"/>
      <c r="E126" s="1"/>
      <c r="F126" s="1"/>
      <c r="G126" s="1"/>
      <c r="H126" s="1"/>
    </row>
    <row r="127" spans="1:8">
      <c r="A127" s="3"/>
      <c r="B127" s="1"/>
      <c r="C127" s="1"/>
      <c r="D127" s="1"/>
      <c r="E127" s="1"/>
      <c r="F127" s="1"/>
      <c r="G127" s="1"/>
      <c r="H127" s="1"/>
    </row>
    <row r="128" spans="1:8">
      <c r="A128" s="3"/>
      <c r="B128" s="1"/>
      <c r="C128" s="1"/>
      <c r="D128" s="1"/>
      <c r="E128" s="1"/>
      <c r="F128" s="1"/>
      <c r="G128" s="1"/>
      <c r="H128" s="1"/>
    </row>
    <row r="129" spans="1:8">
      <c r="A129" s="3"/>
      <c r="B129" s="1"/>
      <c r="C129" s="1"/>
      <c r="D129" s="1"/>
      <c r="E129" s="1"/>
      <c r="F129" s="1"/>
      <c r="G129" s="1"/>
      <c r="H129" s="1"/>
    </row>
    <row r="130" spans="1:8">
      <c r="A130" s="3"/>
      <c r="B130" s="1"/>
      <c r="C130" s="1"/>
      <c r="D130" s="1"/>
      <c r="E130" s="1"/>
      <c r="F130" s="1"/>
      <c r="G130" s="1"/>
      <c r="H130" s="1"/>
    </row>
    <row r="131" spans="1:8">
      <c r="A131" s="3"/>
      <c r="B131" s="1"/>
      <c r="C131" s="1"/>
      <c r="D131" s="1"/>
      <c r="E131" s="1"/>
      <c r="F131" s="1"/>
      <c r="G131" s="1"/>
      <c r="H131" s="1"/>
    </row>
    <row r="132" spans="1:8">
      <c r="A132" s="3"/>
      <c r="B132" s="1"/>
      <c r="C132" s="1"/>
      <c r="D132" s="1"/>
      <c r="E132" s="1"/>
      <c r="F132" s="1"/>
      <c r="G132" s="1"/>
      <c r="H132" s="1"/>
    </row>
    <row r="133" spans="1:8">
      <c r="A133" s="3"/>
      <c r="B133" s="1"/>
      <c r="C133" s="1"/>
      <c r="D133" s="1"/>
      <c r="E133" s="1"/>
      <c r="F133" s="1"/>
      <c r="G133" s="1"/>
      <c r="H133" s="1"/>
    </row>
    <row r="134" spans="1:8">
      <c r="A134" s="3"/>
      <c r="B134" s="1"/>
      <c r="C134" s="1"/>
      <c r="D134" s="1"/>
      <c r="E134" s="1"/>
      <c r="F134" s="1"/>
      <c r="G134" s="1"/>
      <c r="H134" s="1"/>
    </row>
    <row r="135" spans="1:8">
      <c r="A135" s="3"/>
      <c r="B135" s="1"/>
      <c r="C135" s="1"/>
      <c r="D135" s="1"/>
      <c r="E135" s="1"/>
      <c r="F135" s="1"/>
      <c r="G135" s="1"/>
      <c r="H135" s="1"/>
    </row>
    <row r="136" spans="1:8">
      <c r="A136" s="3"/>
      <c r="B136" s="1"/>
      <c r="C136" s="1"/>
      <c r="D136" s="1"/>
      <c r="E136" s="1"/>
      <c r="F136" s="1"/>
      <c r="G136" s="1"/>
      <c r="H136" s="1"/>
    </row>
    <row r="137" spans="1:8">
      <c r="A137" s="3"/>
      <c r="B137" s="1"/>
      <c r="C137" s="1"/>
      <c r="D137" s="1"/>
      <c r="E137" s="1"/>
      <c r="F137" s="1"/>
      <c r="G137" s="1"/>
      <c r="H137" s="1"/>
    </row>
    <row r="138" spans="1:8">
      <c r="A138" s="3"/>
      <c r="B138" s="1"/>
      <c r="C138" s="1"/>
      <c r="D138" s="1"/>
      <c r="E138" s="1"/>
      <c r="F138" s="1"/>
      <c r="G138" s="1"/>
      <c r="H138" s="1"/>
    </row>
    <row r="139" spans="1:8">
      <c r="A139" s="3"/>
      <c r="B139" s="1"/>
      <c r="C139" s="1"/>
      <c r="D139" s="1"/>
      <c r="E139" s="1"/>
      <c r="F139" s="1"/>
      <c r="G139" s="1"/>
      <c r="H139" s="1"/>
    </row>
    <row r="140" spans="1:8">
      <c r="A140" s="3"/>
      <c r="B140" s="1"/>
      <c r="C140" s="1"/>
      <c r="D140" s="1"/>
      <c r="E140" s="1"/>
      <c r="F140" s="1"/>
      <c r="G140" s="1"/>
      <c r="H140" s="1"/>
    </row>
    <row r="141" spans="1:8">
      <c r="A141" s="3"/>
      <c r="B141" s="1"/>
      <c r="C141" s="1"/>
      <c r="D141" s="1"/>
      <c r="E141" s="1"/>
      <c r="F141" s="1"/>
      <c r="G141" s="1"/>
      <c r="H141" s="1"/>
    </row>
    <row r="142" spans="1:8">
      <c r="A142" s="3"/>
      <c r="B142" s="1"/>
      <c r="C142" s="1"/>
      <c r="D142" s="1"/>
      <c r="E142" s="1"/>
      <c r="F142" s="1"/>
      <c r="G142" s="1"/>
      <c r="H142" s="1"/>
    </row>
    <row r="143" spans="1:8">
      <c r="A143" s="3"/>
      <c r="B143" s="1"/>
      <c r="C143" s="1"/>
      <c r="D143" s="1"/>
      <c r="E143" s="1"/>
      <c r="F143" s="1"/>
      <c r="G143" s="1"/>
      <c r="H143" s="1"/>
    </row>
    <row r="144" spans="1:8">
      <c r="A144" s="3"/>
      <c r="B144" s="1"/>
      <c r="C144" s="1"/>
      <c r="D144" s="1"/>
      <c r="E144" s="1"/>
      <c r="F144" s="1"/>
      <c r="G144" s="1"/>
      <c r="H144" s="1"/>
    </row>
    <row r="145" spans="1:8">
      <c r="A145" s="3"/>
      <c r="B145" s="1"/>
      <c r="C145" s="1"/>
      <c r="D145" s="1"/>
      <c r="E145" s="1"/>
      <c r="F145" s="1"/>
      <c r="G145" s="1"/>
      <c r="H145" s="1"/>
    </row>
    <row r="146" spans="1:8">
      <c r="A146" s="3"/>
      <c r="B146" s="1"/>
      <c r="C146" s="1"/>
      <c r="D146" s="1"/>
      <c r="E146" s="1"/>
      <c r="F146" s="1"/>
      <c r="G146" s="1"/>
      <c r="H146" s="1"/>
    </row>
    <row r="147" spans="1:8">
      <c r="A147" s="3"/>
      <c r="B147" s="1"/>
      <c r="C147" s="1"/>
      <c r="D147" s="1"/>
      <c r="E147" s="1"/>
      <c r="F147" s="1"/>
      <c r="G147" s="1"/>
      <c r="H147" s="1"/>
    </row>
    <row r="148" spans="1:8">
      <c r="A148" s="3"/>
      <c r="B148" s="1"/>
      <c r="C148" s="1"/>
      <c r="D148" s="1"/>
      <c r="E148" s="1"/>
      <c r="F148" s="1"/>
      <c r="G148" s="1"/>
      <c r="H148" s="1"/>
    </row>
    <row r="149" spans="1:8">
      <c r="A149" s="3"/>
      <c r="B149" s="1"/>
      <c r="C149" s="1"/>
      <c r="D149" s="1"/>
      <c r="E149" s="1"/>
      <c r="F149" s="1"/>
      <c r="G149" s="1"/>
      <c r="H149" s="1"/>
    </row>
    <row r="150" spans="1:8">
      <c r="A150" s="3"/>
      <c r="B150" s="1"/>
      <c r="C150" s="1"/>
      <c r="D150" s="1"/>
      <c r="E150" s="1"/>
      <c r="F150" s="1"/>
      <c r="G150" s="1"/>
      <c r="H150" s="1"/>
    </row>
    <row r="151" spans="1:8">
      <c r="A151" s="3"/>
      <c r="B151" s="1"/>
      <c r="C151" s="1"/>
      <c r="D151" s="1"/>
      <c r="E151" s="1"/>
      <c r="F151" s="1"/>
      <c r="G151" s="1"/>
      <c r="H151" s="1"/>
    </row>
    <row r="152" spans="1:8">
      <c r="A152" s="3"/>
      <c r="B152" s="1"/>
      <c r="C152" s="1"/>
      <c r="D152" s="1"/>
      <c r="E152" s="1"/>
      <c r="F152" s="1"/>
      <c r="G152" s="1"/>
      <c r="H152" s="1"/>
    </row>
    <row r="153" spans="1:8">
      <c r="A153" s="3"/>
      <c r="B153" s="1"/>
      <c r="C153" s="1"/>
      <c r="D153" s="1"/>
      <c r="E153" s="1"/>
      <c r="F153" s="1"/>
      <c r="G153" s="1"/>
      <c r="H153" s="1"/>
    </row>
    <row r="154" spans="1:8">
      <c r="A154" s="3"/>
      <c r="B154" s="1"/>
      <c r="C154" s="1"/>
      <c r="D154" s="1"/>
      <c r="E154" s="1"/>
      <c r="F154" s="1"/>
      <c r="G154" s="1"/>
      <c r="H154" s="1"/>
    </row>
    <row r="155" spans="1:8">
      <c r="A155" s="3"/>
      <c r="B155" s="1"/>
      <c r="C155" s="1"/>
      <c r="D155" s="1"/>
      <c r="E155" s="1"/>
      <c r="F155" s="1"/>
      <c r="G155" s="1"/>
      <c r="H155" s="1"/>
    </row>
    <row r="156" spans="1:8">
      <c r="A156" s="3"/>
      <c r="B156" s="1"/>
      <c r="C156" s="1"/>
      <c r="D156" s="1"/>
      <c r="E156" s="1"/>
      <c r="F156" s="1"/>
      <c r="G156" s="1"/>
      <c r="H156" s="1"/>
    </row>
    <row r="157" spans="1:8">
      <c r="A157" s="3"/>
      <c r="B157" s="1"/>
      <c r="C157" s="1"/>
      <c r="D157" s="1"/>
      <c r="E157" s="1"/>
      <c r="F157" s="1"/>
      <c r="G157" s="1"/>
      <c r="H157" s="1"/>
    </row>
    <row r="158" spans="1:8">
      <c r="A158" s="3"/>
      <c r="B158" s="1"/>
      <c r="C158" s="1"/>
      <c r="D158" s="1"/>
      <c r="E158" s="1"/>
      <c r="F158" s="1"/>
      <c r="G158" s="1"/>
      <c r="H158" s="1"/>
    </row>
    <row r="159" spans="1:8">
      <c r="A159" s="3"/>
      <c r="B159" s="1"/>
      <c r="C159" s="1"/>
      <c r="D159" s="1"/>
      <c r="E159" s="1"/>
      <c r="F159" s="1"/>
      <c r="G159" s="1"/>
      <c r="H159" s="1"/>
    </row>
    <row r="160" spans="1:8">
      <c r="A160" s="3"/>
      <c r="B160" s="1"/>
      <c r="C160" s="1"/>
      <c r="D160" s="1"/>
      <c r="E160" s="1"/>
      <c r="F160" s="1"/>
      <c r="G160" s="1"/>
      <c r="H160" s="1"/>
    </row>
    <row r="161" spans="1:8">
      <c r="A161" s="3"/>
      <c r="B161" s="1"/>
      <c r="C161" s="1"/>
      <c r="D161" s="1"/>
      <c r="E161" s="1"/>
      <c r="F161" s="1"/>
      <c r="G161" s="1"/>
      <c r="H161" s="1"/>
    </row>
    <row r="162" spans="1:8">
      <c r="A162" s="3"/>
      <c r="B162" s="1"/>
      <c r="C162" s="1"/>
      <c r="D162" s="1"/>
      <c r="E162" s="1"/>
      <c r="F162" s="1"/>
      <c r="G162" s="1"/>
      <c r="H162" s="1"/>
    </row>
    <row r="163" spans="1:8">
      <c r="A163" s="3"/>
      <c r="B163" s="1"/>
      <c r="C163" s="1"/>
      <c r="D163" s="1"/>
      <c r="E163" s="1"/>
      <c r="F163" s="1"/>
      <c r="G163" s="1"/>
      <c r="H163" s="1"/>
    </row>
    <row r="164" spans="1:8">
      <c r="A164" s="3"/>
      <c r="B164" s="1"/>
      <c r="C164" s="1"/>
      <c r="D164" s="1"/>
      <c r="E164" s="1"/>
      <c r="F164" s="1"/>
      <c r="G164" s="1"/>
      <c r="H164" s="1"/>
    </row>
    <row r="165" spans="1:8">
      <c r="A165" s="3"/>
      <c r="B165" s="1"/>
      <c r="C165" s="1"/>
      <c r="D165" s="1"/>
      <c r="E165" s="1"/>
      <c r="F165" s="1"/>
      <c r="G165" s="1"/>
      <c r="H165" s="1"/>
    </row>
    <row r="166" spans="1:8">
      <c r="A166" s="3"/>
      <c r="B166" s="1"/>
      <c r="C166" s="1"/>
      <c r="D166" s="1"/>
      <c r="E166" s="1"/>
      <c r="F166" s="1"/>
      <c r="G166" s="1"/>
      <c r="H166" s="1"/>
    </row>
    <row r="167" spans="1:8">
      <c r="A167" s="3"/>
      <c r="B167" s="1"/>
      <c r="C167" s="1"/>
      <c r="D167" s="1"/>
      <c r="E167" s="1"/>
      <c r="F167" s="1"/>
      <c r="G167" s="1"/>
      <c r="H167" s="1"/>
    </row>
    <row r="168" spans="1:8">
      <c r="A168" s="3"/>
      <c r="B168" s="1"/>
      <c r="C168" s="1"/>
      <c r="D168" s="1"/>
      <c r="E168" s="1"/>
      <c r="F168" s="1"/>
      <c r="G168" s="1"/>
      <c r="H168" s="1"/>
    </row>
    <row r="169" spans="1:8">
      <c r="A169" s="3"/>
      <c r="B169" s="1"/>
      <c r="C169" s="1"/>
      <c r="D169" s="1"/>
      <c r="E169" s="1"/>
      <c r="F169" s="1"/>
      <c r="G169" s="1"/>
      <c r="H169" s="1"/>
    </row>
    <row r="170" spans="1:8">
      <c r="A170" s="3"/>
      <c r="B170" s="1"/>
      <c r="C170" s="1"/>
      <c r="D170" s="1"/>
      <c r="E170" s="1"/>
      <c r="F170" s="1"/>
      <c r="G170" s="1"/>
      <c r="H170" s="1"/>
    </row>
    <row r="171" spans="1:8">
      <c r="A171" s="3"/>
      <c r="B171" s="1"/>
      <c r="C171" s="1"/>
      <c r="D171" s="1"/>
      <c r="E171" s="1"/>
      <c r="F171" s="1"/>
      <c r="G171" s="1"/>
      <c r="H171" s="1"/>
    </row>
    <row r="172" spans="1:8">
      <c r="A172" s="3"/>
      <c r="B172" s="1"/>
      <c r="C172" s="1"/>
      <c r="D172" s="1"/>
      <c r="E172" s="1"/>
      <c r="F172" s="1"/>
      <c r="G172" s="1"/>
      <c r="H172" s="1"/>
    </row>
    <row r="173" spans="1:8">
      <c r="A173" s="3"/>
      <c r="B173" s="1"/>
      <c r="C173" s="1"/>
      <c r="D173" s="1"/>
      <c r="E173" s="1"/>
      <c r="F173" s="1"/>
      <c r="G173" s="1"/>
      <c r="H173" s="1"/>
    </row>
    <row r="174" spans="1:8">
      <c r="A174" s="3"/>
      <c r="B174" s="1"/>
      <c r="C174" s="1"/>
      <c r="D174" s="1"/>
      <c r="E174" s="1"/>
      <c r="F174" s="1"/>
      <c r="G174" s="1"/>
      <c r="H174" s="1"/>
    </row>
    <row r="175" spans="1:8">
      <c r="A175" s="3"/>
      <c r="B175" s="1"/>
      <c r="C175" s="1"/>
      <c r="D175" s="1"/>
      <c r="E175" s="1"/>
      <c r="F175" s="1"/>
      <c r="G175" s="1"/>
      <c r="H175" s="1"/>
    </row>
    <row r="176" spans="1:8">
      <c r="A176" s="3"/>
      <c r="B176" s="1"/>
      <c r="C176" s="1"/>
      <c r="D176" s="1"/>
      <c r="E176" s="1"/>
      <c r="F176" s="1"/>
      <c r="G176" s="1"/>
      <c r="H176" s="1"/>
    </row>
    <row r="177" spans="1:8">
      <c r="A177" s="3"/>
      <c r="B177" s="1"/>
      <c r="C177" s="1"/>
      <c r="D177" s="1"/>
      <c r="E177" s="1"/>
      <c r="F177" s="1"/>
      <c r="G177" s="1"/>
      <c r="H177" s="1"/>
    </row>
    <row r="178" spans="1:8">
      <c r="A178" s="3"/>
      <c r="B178" s="1"/>
      <c r="C178" s="1"/>
      <c r="D178" s="1"/>
      <c r="E178" s="1"/>
      <c r="F178" s="1"/>
      <c r="G178" s="1"/>
      <c r="H178" s="1"/>
    </row>
    <row r="179" spans="1:8">
      <c r="A179" s="3"/>
      <c r="B179" s="1"/>
      <c r="C179" s="1"/>
      <c r="D179" s="1"/>
      <c r="E179" s="1"/>
      <c r="F179" s="1"/>
      <c r="G179" s="1"/>
      <c r="H179" s="1"/>
    </row>
    <row r="180" spans="1:8">
      <c r="A180" s="3"/>
      <c r="B180" s="1"/>
      <c r="C180" s="1"/>
      <c r="D180" s="1"/>
      <c r="E180" s="1"/>
      <c r="F180" s="1"/>
      <c r="G180" s="1"/>
      <c r="H180" s="1"/>
    </row>
    <row r="181" spans="1:8">
      <c r="A181" s="3"/>
      <c r="B181" s="1"/>
      <c r="C181" s="1"/>
      <c r="D181" s="1"/>
      <c r="E181" s="1"/>
      <c r="F181" s="1"/>
      <c r="G181" s="1"/>
      <c r="H181" s="1"/>
    </row>
    <row r="182" spans="1:8">
      <c r="A182" s="3"/>
      <c r="B182" s="1"/>
      <c r="C182" s="1"/>
      <c r="D182" s="1"/>
      <c r="E182" s="1"/>
      <c r="F182" s="1"/>
      <c r="G182" s="1"/>
      <c r="H182" s="1"/>
    </row>
    <row r="183" spans="1:8">
      <c r="A183" s="3"/>
      <c r="B183" s="1"/>
      <c r="C183" s="1"/>
      <c r="D183" s="1"/>
      <c r="E183" s="1"/>
      <c r="F183" s="1"/>
      <c r="G183" s="1"/>
      <c r="H183" s="1"/>
    </row>
    <row r="184" spans="1:8">
      <c r="A184" s="3"/>
      <c r="B184" s="1"/>
      <c r="C184" s="1"/>
      <c r="D184" s="1"/>
      <c r="E184" s="1"/>
      <c r="F184" s="1"/>
      <c r="G184" s="1"/>
      <c r="H184" s="1"/>
    </row>
    <row r="185" spans="1:8">
      <c r="A185" s="3"/>
      <c r="B185" s="1"/>
      <c r="C185" s="1"/>
      <c r="D185" s="1"/>
      <c r="E185" s="1"/>
      <c r="F185" s="1"/>
      <c r="G185" s="1"/>
      <c r="H185" s="1"/>
    </row>
    <row r="186" spans="1:8">
      <c r="A186" s="3"/>
      <c r="B186" s="1"/>
      <c r="C186" s="1"/>
      <c r="D186" s="1"/>
      <c r="E186" s="1"/>
      <c r="F186" s="1"/>
      <c r="G186" s="1"/>
      <c r="H186" s="1"/>
    </row>
    <row r="187" spans="1:8">
      <c r="A187" s="3"/>
      <c r="B187" s="1"/>
      <c r="C187" s="1"/>
      <c r="D187" s="1"/>
      <c r="E187" s="1"/>
      <c r="F187" s="1"/>
      <c r="G187" s="1"/>
      <c r="H187" s="1"/>
    </row>
    <row r="188" spans="1:8">
      <c r="A188" s="3"/>
      <c r="B188" s="1"/>
      <c r="C188" s="1"/>
      <c r="D188" s="1"/>
      <c r="E188" s="1"/>
      <c r="F188" s="1"/>
      <c r="G188" s="1"/>
      <c r="H188" s="1"/>
    </row>
    <row r="189" spans="1:8">
      <c r="A189" s="3"/>
      <c r="B189" s="1"/>
      <c r="C189" s="1"/>
      <c r="D189" s="1"/>
      <c r="E189" s="1"/>
      <c r="F189" s="1"/>
      <c r="G189" s="1"/>
      <c r="H189" s="1"/>
    </row>
    <row r="190" spans="1:8">
      <c r="A190" s="3"/>
      <c r="B190" s="1"/>
      <c r="C190" s="1"/>
      <c r="D190" s="1"/>
      <c r="E190" s="1"/>
      <c r="F190" s="1"/>
      <c r="G190" s="1"/>
      <c r="H190" s="1"/>
    </row>
    <row r="191" spans="1:8">
      <c r="A191" s="3"/>
      <c r="B191" s="1"/>
      <c r="C191" s="1"/>
      <c r="D191" s="1"/>
      <c r="E191" s="1"/>
      <c r="F191" s="1"/>
      <c r="G191" s="1"/>
      <c r="H191" s="1"/>
    </row>
    <row r="192" spans="1:8">
      <c r="A192" s="3"/>
      <c r="B192" s="1"/>
      <c r="C192" s="1"/>
      <c r="D192" s="1"/>
      <c r="E192" s="1"/>
      <c r="F192" s="1"/>
      <c r="G192" s="1"/>
      <c r="H192" s="1"/>
    </row>
    <row r="193" spans="1:8">
      <c r="A193" s="3"/>
      <c r="B193" s="1"/>
      <c r="C193" s="1"/>
      <c r="D193" s="1"/>
      <c r="E193" s="1"/>
      <c r="F193" s="1"/>
      <c r="G193" s="1"/>
      <c r="H193" s="1"/>
    </row>
    <row r="194" spans="1:8">
      <c r="A194" s="3"/>
      <c r="B194" s="1"/>
      <c r="C194" s="1"/>
      <c r="D194" s="1"/>
      <c r="E194" s="1"/>
      <c r="F194" s="1"/>
      <c r="G194" s="1"/>
      <c r="H194" s="1"/>
    </row>
    <row r="195" spans="1:8">
      <c r="A195" s="3"/>
      <c r="B195" s="1"/>
      <c r="C195" s="1"/>
      <c r="D195" s="1"/>
      <c r="E195" s="1"/>
      <c r="F195" s="1"/>
      <c r="G195" s="1"/>
      <c r="H195" s="1"/>
    </row>
    <row r="196" spans="1:8">
      <c r="A196" s="3"/>
      <c r="B196" s="1"/>
      <c r="C196" s="1"/>
      <c r="D196" s="1"/>
      <c r="E196" s="1"/>
      <c r="F196" s="1"/>
      <c r="G196" s="1"/>
      <c r="H196" s="1"/>
    </row>
    <row r="197" spans="1:8">
      <c r="A197" s="3"/>
      <c r="B197" s="1"/>
      <c r="C197" s="1"/>
      <c r="D197" s="1"/>
      <c r="E197" s="1"/>
      <c r="F197" s="1"/>
      <c r="G197" s="1"/>
      <c r="H197" s="1"/>
    </row>
    <row r="198" spans="1:8">
      <c r="A198" s="3"/>
      <c r="B198" s="1"/>
      <c r="C198" s="1"/>
      <c r="D198" s="1"/>
      <c r="E198" s="1"/>
      <c r="F198" s="1"/>
      <c r="G198" s="1"/>
      <c r="H198" s="1"/>
    </row>
    <row r="199" spans="1:8">
      <c r="A199" s="3"/>
      <c r="B199" s="1"/>
      <c r="C199" s="1"/>
      <c r="D199" s="1"/>
      <c r="E199" s="1"/>
      <c r="F199" s="1"/>
      <c r="G199" s="1"/>
      <c r="H199" s="1"/>
    </row>
    <row r="200" spans="1:8">
      <c r="A200" s="3"/>
      <c r="B200" s="1"/>
      <c r="C200" s="1"/>
      <c r="D200" s="1"/>
      <c r="E200" s="1"/>
      <c r="F200" s="1"/>
      <c r="G200" s="1"/>
      <c r="H200" s="1"/>
    </row>
    <row r="201" spans="1:8">
      <c r="A201" s="3"/>
      <c r="B201" s="1"/>
      <c r="C201" s="1"/>
      <c r="D201" s="1"/>
      <c r="E201" s="1"/>
      <c r="F201" s="1"/>
      <c r="G201" s="1"/>
      <c r="H201" s="1"/>
    </row>
    <row r="202" spans="1:8">
      <c r="A202" s="3"/>
      <c r="B202" s="1"/>
      <c r="C202" s="1"/>
      <c r="D202" s="1"/>
      <c r="E202" s="1"/>
      <c r="F202" s="1"/>
      <c r="G202" s="1"/>
      <c r="H202" s="1"/>
    </row>
    <row r="203" spans="1:8">
      <c r="A203" s="3"/>
      <c r="B203" s="1"/>
      <c r="C203" s="1"/>
      <c r="D203" s="1"/>
      <c r="E203" s="1"/>
      <c r="F203" s="1"/>
      <c r="G203" s="1"/>
      <c r="H203" s="1"/>
    </row>
    <row r="204" spans="1:8">
      <c r="A204" s="3"/>
      <c r="B204" s="1"/>
      <c r="C204" s="1"/>
      <c r="D204" s="1"/>
      <c r="E204" s="1"/>
      <c r="F204" s="1"/>
      <c r="G204" s="1"/>
      <c r="H204" s="1"/>
    </row>
    <row r="205" spans="1:8">
      <c r="A205" s="3"/>
      <c r="B205" s="1"/>
      <c r="C205" s="1"/>
      <c r="D205" s="1"/>
      <c r="E205" s="1"/>
      <c r="F205" s="1"/>
      <c r="G205" s="1"/>
      <c r="H205" s="1"/>
    </row>
  </sheetData>
  <mergeCells count="2">
    <mergeCell ref="A1:H2"/>
    <mergeCell ref="A3:H3"/>
  </mergeCells>
  <dataValidations count="1">
    <dataValidation type="list" allowBlank="1" showErrorMessage="1" errorTitle="Choose from the list" error="Choose a value from the dropdown, or add a custom option on Customize Lists." sqref="C6:C205" xr:uid="{00000000-0002-0000-0D00-000000000000}">
      <formula1>INDIRECT("'Customize Lists'!$E$127:$E$138")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70"/>
  <sheetViews>
    <sheetView topLeftCell="A21" workbookViewId="0">
      <selection activeCell="E6" sqref="E6:H6"/>
    </sheetView>
  </sheetViews>
  <sheetFormatPr defaultRowHeight="14.25"/>
  <cols>
    <col min="1" max="1" width="19" customWidth="1"/>
    <col min="2" max="2" width="14" customWidth="1"/>
    <col min="3" max="3" width="19" customWidth="1"/>
    <col min="4" max="4" width="14" customWidth="1"/>
    <col min="5" max="5" width="20" customWidth="1"/>
    <col min="6" max="6" width="14" customWidth="1"/>
    <col min="7" max="7" width="23" customWidth="1"/>
    <col min="8" max="8" width="14" customWidth="1"/>
    <col min="9" max="9" width="3" customWidth="1"/>
    <col min="10" max="10" width="12" customWidth="1"/>
    <col min="11" max="11" width="14" customWidth="1"/>
    <col min="12" max="13" width="12" customWidth="1"/>
  </cols>
  <sheetData>
    <row r="1" spans="1:13" ht="32.1" customHeight="1">
      <c r="A1" s="19" t="s">
        <v>705</v>
      </c>
      <c r="B1" s="20"/>
      <c r="C1" s="20"/>
      <c r="D1" s="20"/>
      <c r="E1" s="20"/>
      <c r="F1" s="20"/>
      <c r="G1" s="20"/>
      <c r="H1" s="20"/>
    </row>
    <row r="2" spans="1:13" ht="32.1" customHeight="1">
      <c r="A2" s="20"/>
      <c r="B2" s="20"/>
      <c r="C2" s="20"/>
      <c r="D2" s="20"/>
      <c r="E2" s="20"/>
      <c r="F2" s="20"/>
      <c r="G2" s="20"/>
      <c r="H2" s="20"/>
    </row>
    <row r="3" spans="1:13">
      <c r="A3" s="30" t="s">
        <v>706</v>
      </c>
      <c r="B3" s="31"/>
      <c r="C3" s="31"/>
      <c r="D3" s="31"/>
      <c r="E3" s="31"/>
      <c r="F3" s="31"/>
      <c r="G3" s="31"/>
      <c r="H3" s="31"/>
    </row>
    <row r="5" spans="1:13" ht="33.950000000000003" customHeight="1">
      <c r="A5" s="24" t="s">
        <v>707</v>
      </c>
      <c r="B5" s="25"/>
      <c r="C5" s="25"/>
      <c r="D5" s="25"/>
      <c r="E5" s="25"/>
      <c r="F5" s="25"/>
      <c r="G5" s="25"/>
      <c r="H5" s="25"/>
      <c r="J5" s="12" t="s">
        <v>226</v>
      </c>
      <c r="K5" s="12" t="s">
        <v>708</v>
      </c>
      <c r="L5" s="12" t="s">
        <v>709</v>
      </c>
      <c r="M5" s="12" t="s">
        <v>307</v>
      </c>
    </row>
    <row r="6" spans="1:13" ht="15">
      <c r="A6" s="10" t="s">
        <v>393</v>
      </c>
      <c r="B6" s="14">
        <v>46273</v>
      </c>
      <c r="C6" s="11" t="s">
        <v>397</v>
      </c>
      <c r="D6" s="14">
        <v>46302</v>
      </c>
      <c r="E6" s="41"/>
      <c r="F6" s="41"/>
      <c r="G6" s="41"/>
      <c r="H6" s="41"/>
      <c r="J6" s="8">
        <f>IF('Daily Check-In'!A6="","",'Daily Check-In'!A6)</f>
        <v>46275</v>
      </c>
      <c r="K6">
        <f>IF(OR('Daily Check-In'!A6="",'Daily Check-In'!C6=""),"",'Daily Check-In'!C6)</f>
        <v>3</v>
      </c>
      <c r="L6">
        <f>IF(OR('Daily Check-In'!A6="",'Daily Check-In'!D6=""),"",'Daily Check-In'!D6)</f>
        <v>2</v>
      </c>
      <c r="M6">
        <f>IF(OR('Daily Check-In'!A6="",'Daily Check-In'!E6=""),"",'Daily Check-In'!E6)</f>
        <v>4</v>
      </c>
    </row>
    <row r="7" spans="1:13">
      <c r="A7" s="32" t="s">
        <v>710</v>
      </c>
      <c r="B7" s="33"/>
      <c r="C7" s="33"/>
      <c r="D7" s="33"/>
      <c r="E7" s="33"/>
      <c r="F7" s="33"/>
      <c r="G7" s="33"/>
      <c r="H7" s="33"/>
      <c r="J7" s="8">
        <f>IF('Daily Check-In'!A7="","",'Daily Check-In'!A7)</f>
        <v>46276</v>
      </c>
      <c r="K7">
        <f>IF(OR('Daily Check-In'!A7="",'Daily Check-In'!C7=""),"",'Daily Check-In'!C7)</f>
        <v>3</v>
      </c>
      <c r="L7">
        <f>IF(OR('Daily Check-In'!A7="",'Daily Check-In'!D7=""),"",'Daily Check-In'!D7)</f>
        <v>2</v>
      </c>
      <c r="M7">
        <f>IF(OR('Daily Check-In'!A7="",'Daily Check-In'!E7=""),"",'Daily Check-In'!E7)</f>
        <v>4</v>
      </c>
    </row>
    <row r="8" spans="1:13">
      <c r="J8" s="8">
        <f>IF('Daily Check-In'!A8="","",'Daily Check-In'!A8)</f>
        <v>46277</v>
      </c>
      <c r="K8">
        <f>IF(OR('Daily Check-In'!A8="",'Daily Check-In'!C8=""),"",'Daily Check-In'!C8)</f>
        <v>4</v>
      </c>
      <c r="L8">
        <f>IF(OR('Daily Check-In'!A8="",'Daily Check-In'!D8=""),"",'Daily Check-In'!D8)</f>
        <v>3</v>
      </c>
      <c r="M8">
        <f>IF(OR('Daily Check-In'!A8="",'Daily Check-In'!E8=""),"",'Daily Check-In'!E8)</f>
        <v>5</v>
      </c>
    </row>
    <row r="9" spans="1:13" ht="15">
      <c r="A9" s="24" t="s">
        <v>711</v>
      </c>
      <c r="B9" s="25"/>
      <c r="C9" s="25"/>
      <c r="D9" s="25"/>
      <c r="E9" s="25"/>
      <c r="F9" s="25"/>
      <c r="G9" s="25"/>
      <c r="H9" s="25"/>
      <c r="J9" s="8">
        <f>IF('Daily Check-In'!A9="","",'Daily Check-In'!A9)</f>
        <v>46278</v>
      </c>
      <c r="K9">
        <f>IF(OR('Daily Check-In'!A9="",'Daily Check-In'!C9=""),"",'Daily Check-In'!C9)</f>
        <v>3</v>
      </c>
      <c r="L9">
        <f>IF(OR('Daily Check-In'!A9="",'Daily Check-In'!D9=""),"",'Daily Check-In'!D9)</f>
        <v>2</v>
      </c>
      <c r="M9">
        <f>IF(OR('Daily Check-In'!A9="",'Daily Check-In'!E9=""),"",'Daily Check-In'!E9)</f>
        <v>4</v>
      </c>
    </row>
    <row r="10" spans="1:13" ht="30" customHeight="1">
      <c r="A10" s="34" t="s">
        <v>712</v>
      </c>
      <c r="B10" s="35"/>
      <c r="C10" s="34" t="s">
        <v>713</v>
      </c>
      <c r="D10" s="35"/>
      <c r="E10" s="34" t="s">
        <v>714</v>
      </c>
      <c r="F10" s="35"/>
      <c r="G10" s="34" t="s">
        <v>715</v>
      </c>
      <c r="H10" s="35"/>
      <c r="J10" s="8">
        <f>IF('Daily Check-In'!A10="","",'Daily Check-In'!A10)</f>
        <v>46279</v>
      </c>
      <c r="K10">
        <f>IF(OR('Daily Check-In'!A10="",'Daily Check-In'!C10=""),"",'Daily Check-In'!C10)</f>
        <v>3</v>
      </c>
      <c r="L10">
        <f>IF(OR('Daily Check-In'!A10="",'Daily Check-In'!D10=""),"",'Daily Check-In'!D10)</f>
        <v>2</v>
      </c>
      <c r="M10">
        <f>IF(OR('Daily Check-In'!A10="",'Daily Check-In'!E10=""),"",'Daily Check-In'!E10)</f>
        <v>4</v>
      </c>
    </row>
    <row r="11" spans="1:13" ht="36" customHeight="1">
      <c r="A11" s="36">
        <f>IF(COUNTIFS('Daily Check-In'!$A$6:$A$370,"&gt;="&amp;$B$6,'Daily Check-In'!$A$6:$A$370,"&lt;="&amp;$D$6)=0,"No data yet",COUNTIFS('Daily Check-In'!$A$6:$A$370,"&gt;="&amp;$B$6,'Daily Check-In'!$A$6:$A$370,"&lt;="&amp;$D$6))</f>
        <v>28</v>
      </c>
      <c r="B11" s="36"/>
      <c r="C11" s="36">
        <f>IF(COUNTIFS('Daily Check-In'!$A$6:$A$370,"&gt;="&amp;$B$6,'Daily Check-In'!$A$6:$A$370,"&lt;="&amp;$D$6)=0,"No data yet",COUNTIFS('Daily Check-In'!$A$6:$A$370,"&gt;="&amp;$B$6,'Daily Check-In'!$A$6:$A$370,"&lt;="&amp;$D$6,'Daily Check-In'!$B$6:$B$370,"Flare"))</f>
        <v>6</v>
      </c>
      <c r="D11" s="36"/>
      <c r="E11" s="37">
        <f>IF(COUNTIFS('Daily Check-In'!$A$6:$A$370,"&gt;="&amp;$B$6,'Daily Check-In'!$A$6:$A$370,"&lt;="&amp;$D$6,'Daily Check-In'!$C$6:$C$370,"&lt;&gt;")=0,"No data yet",SUMIFS('Daily Check-In'!$C$6:$C$370,'Daily Check-In'!$A$6:$A$370,"&gt;="&amp;$B$6,'Daily Check-In'!$A$6:$A$370,"&lt;="&amp;$D$6)/COUNTIFS('Daily Check-In'!$A$6:$A$370,"&gt;="&amp;$B$6,'Daily Check-In'!$A$6:$A$370,"&lt;="&amp;$D$6,'Daily Check-In'!$C$6:$C$370,"&lt;&gt;"))</f>
        <v>4.7857142857142856</v>
      </c>
      <c r="F11" s="36"/>
      <c r="G11" s="36">
        <f>IF(COUNTIFS('Symptom Log'!$A$6:$A$255,"&gt;="&amp;$B$6,'Symptom Log'!$A$6:$A$255,"&lt;="&amp;$D$6)=0,"No data yet",COUNTIFS('Symptom Log'!$A$6:$A$255,"&gt;="&amp;$B$6,'Symptom Log'!$A$6:$A$255,"&lt;="&amp;$D$6,'Symptom Log'!$E$6:$E$255,"&gt;=7"))</f>
        <v>7</v>
      </c>
      <c r="H11" s="36"/>
      <c r="J11" s="8">
        <f>IF('Daily Check-In'!A11="","",'Daily Check-In'!A11)</f>
        <v>46280</v>
      </c>
      <c r="K11">
        <f>IF(OR('Daily Check-In'!A11="",'Daily Check-In'!C11=""),"",'Daily Check-In'!C11)</f>
        <v>4</v>
      </c>
      <c r="L11">
        <f>IF(OR('Daily Check-In'!A11="",'Daily Check-In'!D11=""),"",'Daily Check-In'!D11)</f>
        <v>3</v>
      </c>
      <c r="M11">
        <f>IF(OR('Daily Check-In'!A11="",'Daily Check-In'!E11=""),"",'Daily Check-In'!E11)</f>
        <v>5</v>
      </c>
    </row>
    <row r="12" spans="1:13">
      <c r="J12" s="8">
        <f>IF('Daily Check-In'!A12="","",'Daily Check-In'!A12)</f>
        <v>46281</v>
      </c>
      <c r="K12">
        <f>IF(OR('Daily Check-In'!A12="",'Daily Check-In'!C12=""),"",'Daily Check-In'!C12)</f>
        <v>4</v>
      </c>
      <c r="L12">
        <f>IF(OR('Daily Check-In'!A12="",'Daily Check-In'!D12=""),"",'Daily Check-In'!D12)</f>
        <v>3</v>
      </c>
      <c r="M12">
        <f>IF(OR('Daily Check-In'!A12="",'Daily Check-In'!E12=""),"",'Daily Check-In'!E12)</f>
        <v>5</v>
      </c>
    </row>
    <row r="13" spans="1:13" ht="30" customHeight="1">
      <c r="A13" s="35" t="s">
        <v>716</v>
      </c>
      <c r="B13" s="35"/>
      <c r="C13" s="35" t="s">
        <v>717</v>
      </c>
      <c r="D13" s="35"/>
      <c r="E13" s="35" t="s">
        <v>718</v>
      </c>
      <c r="F13" s="35"/>
      <c r="G13" s="35" t="s">
        <v>719</v>
      </c>
      <c r="H13" s="35"/>
      <c r="J13" s="8">
        <f>IF('Daily Check-In'!A13="","",'Daily Check-In'!A13)</f>
        <v>46282</v>
      </c>
      <c r="K13">
        <f>IF(OR('Daily Check-In'!A13="",'Daily Check-In'!C13=""),"",'Daily Check-In'!C13)</f>
        <v>5</v>
      </c>
      <c r="L13">
        <f>IF(OR('Daily Check-In'!A13="",'Daily Check-In'!D13=""),"",'Daily Check-In'!D13)</f>
        <v>4</v>
      </c>
      <c r="M13">
        <f>IF(OR('Daily Check-In'!A13="",'Daily Check-In'!E13=""),"",'Daily Check-In'!E13)</f>
        <v>6</v>
      </c>
    </row>
    <row r="14" spans="1:13" ht="36" customHeight="1">
      <c r="A14" s="37">
        <f>IF(COUNTIFS('Daily Check-In'!$A$6:$A$370,"&gt;="&amp;$B$6,'Daily Check-In'!$A$6:$A$370,"&lt;="&amp;$D$6,'Daily Check-In'!$D$6:$D$370,"&lt;&gt;")=0,"No data yet",SUMIFS('Daily Check-In'!$D$6:$D$370,'Daily Check-In'!$A$6:$A$370,"&gt;="&amp;$B$6,'Daily Check-In'!$A$6:$A$370,"&lt;="&amp;$D$6)/COUNTIFS('Daily Check-In'!$A$6:$A$370,"&gt;="&amp;$B$6,'Daily Check-In'!$A$6:$A$370,"&lt;="&amp;$D$6,'Daily Check-In'!$D$6:$D$370,"&lt;&gt;"))</f>
        <v>3.8214285714285716</v>
      </c>
      <c r="B14" s="36"/>
      <c r="C14" s="37">
        <f>IF(COUNTIFS('Daily Check-In'!$A$6:$A$370,"&gt;="&amp;$B$6,'Daily Check-In'!$A$6:$A$370,"&lt;="&amp;$D$6,'Daily Check-In'!$E$6:$E$370,"&lt;&gt;")=0,"No data yet",SUMIFS('Daily Check-In'!$E$6:$E$370,'Daily Check-In'!$A$6:$A$370,"&gt;="&amp;$B$6,'Daily Check-In'!$A$6:$A$370,"&lt;="&amp;$D$6)/COUNTIFS('Daily Check-In'!$A$6:$A$370,"&gt;="&amp;$B$6,'Daily Check-In'!$A$6:$A$370,"&lt;="&amp;$D$6,'Daily Check-In'!$E$6:$E$370,"&lt;&gt;"))</f>
        <v>5.4285714285714288</v>
      </c>
      <c r="D14" s="36"/>
      <c r="E14" s="37">
        <f>IF(COUNTIFS('Daily Check-In'!$A$6:$A$370,"&gt;="&amp;$B$6,'Daily Check-In'!$A$6:$A$370,"&lt;="&amp;$D$6,'Daily Check-In'!$F$6:$F$370,"&lt;&gt;")=0,"No data yet",SUMIFS('Daily Check-In'!$F$6:$F$370,'Daily Check-In'!$A$6:$A$370,"&gt;="&amp;$B$6,'Daily Check-In'!$A$6:$A$370,"&lt;="&amp;$D$6)/COUNTIFS('Daily Check-In'!$A$6:$A$370,"&gt;="&amp;$B$6,'Daily Check-In'!$A$6:$A$370,"&lt;="&amp;$D$6,'Daily Check-In'!$F$6:$F$370,"&lt;&gt;"))</f>
        <v>4.8571428571428568</v>
      </c>
      <c r="F14" s="36"/>
      <c r="G14" s="37">
        <f>IF(COUNTIFS('Daily Check-In'!$A$6:$A$370,"&gt;="&amp;$B$6,'Daily Check-In'!$A$6:$A$370,"&lt;="&amp;$D$6,'Daily Check-In'!$J$6:$J$370,"&lt;&gt;")=0,"No data yet",SUMIFS('Daily Check-In'!$J$6:$J$370,'Daily Check-In'!$A$6:$A$370,"&gt;="&amp;$B$6,'Daily Check-In'!$A$6:$A$370,"&lt;="&amp;$D$6)/COUNTIFS('Daily Check-In'!$A$6:$A$370,"&gt;="&amp;$B$6,'Daily Check-In'!$A$6:$A$370,"&lt;="&amp;$D$6,'Daily Check-In'!$J$6:$J$370,"&lt;&gt;"))</f>
        <v>6.6428571428571432</v>
      </c>
      <c r="H14" s="36"/>
      <c r="J14" s="8">
        <f>IF('Daily Check-In'!A14="","",'Daily Check-In'!A14)</f>
        <v>46283</v>
      </c>
      <c r="K14">
        <f>IF(OR('Daily Check-In'!A14="",'Daily Check-In'!C14=""),"",'Daily Check-In'!C14)</f>
        <v>6</v>
      </c>
      <c r="L14">
        <f>IF(OR('Daily Check-In'!A14="",'Daily Check-In'!D14=""),"",'Daily Check-In'!D14)</f>
        <v>5</v>
      </c>
      <c r="M14">
        <f>IF(OR('Daily Check-In'!A14="",'Daily Check-In'!E14=""),"",'Daily Check-In'!E14)</f>
        <v>7</v>
      </c>
    </row>
    <row r="15" spans="1:13">
      <c r="J15" s="8">
        <f>IF('Daily Check-In'!A15="","",'Daily Check-In'!A15)</f>
        <v>46284</v>
      </c>
      <c r="K15">
        <f>IF(OR('Daily Check-In'!A15="",'Daily Check-In'!C15=""),"",'Daily Check-In'!C15)</f>
        <v>8</v>
      </c>
      <c r="L15">
        <f>IF(OR('Daily Check-In'!A15="",'Daily Check-In'!D15=""),"",'Daily Check-In'!D15)</f>
        <v>7</v>
      </c>
      <c r="M15">
        <f>IF(OR('Daily Check-In'!A15="",'Daily Check-In'!E15=""),"",'Daily Check-In'!E15)</f>
        <v>8</v>
      </c>
    </row>
    <row r="16" spans="1:13" ht="30" customHeight="1">
      <c r="A16" s="35" t="s">
        <v>720</v>
      </c>
      <c r="B16" s="35"/>
      <c r="C16" s="35" t="s">
        <v>40</v>
      </c>
      <c r="D16" s="35"/>
      <c r="E16" s="35" t="s">
        <v>721</v>
      </c>
      <c r="F16" s="35"/>
      <c r="G16" s="35" t="s">
        <v>722</v>
      </c>
      <c r="H16" s="35"/>
      <c r="J16" s="8">
        <f>IF('Daily Check-In'!A16="","",'Daily Check-In'!A16)</f>
        <v>46285</v>
      </c>
      <c r="K16">
        <f>IF(OR('Daily Check-In'!A16="",'Daily Check-In'!C16=""),"",'Daily Check-In'!C16)</f>
        <v>8</v>
      </c>
      <c r="L16">
        <f>IF(OR('Daily Check-In'!A16="",'Daily Check-In'!D16=""),"",'Daily Check-In'!D16)</f>
        <v>8</v>
      </c>
      <c r="M16">
        <f>IF(OR('Daily Check-In'!A16="",'Daily Check-In'!E16=""),"",'Daily Check-In'!E16)</f>
        <v>9</v>
      </c>
    </row>
    <row r="17" spans="1:13" ht="36" customHeight="1">
      <c r="A17" s="36">
        <f>IF(COUNTIFS('Flare Log'!$A$6:$A$155,"&gt;="&amp;$B$6,'Flare Log'!$A$6:$A$155,"&lt;="&amp;$D$6)=0,"No data yet",COUNTIFS('Flare Log'!$A$6:$A$155,"&gt;="&amp;$B$6,'Flare Log'!$A$6:$A$155,"&lt;="&amp;$D$6))</f>
        <v>1</v>
      </c>
      <c r="B17" s="36"/>
      <c r="C17" s="36">
        <f>IF(COUNTIFS('Treatment Events'!$A$6:$A$255,"&gt;="&amp;$B$6,'Treatment Events'!$A$6:$A$255,"&lt;="&amp;$D$6)=0,"No data yet",COUNTIFS('Treatment Events'!$A$6:$A$255,"&gt;="&amp;$B$6,'Treatment Events'!$A$6:$A$255,"&lt;="&amp;$D$6))</f>
        <v>6</v>
      </c>
      <c r="D17" s="36"/>
      <c r="E17" s="36">
        <f>IF(COUNTIFS('Care Access'!$A$6:$A$205,"&gt;="&amp;$B$6,'Care Access'!$A$6:$A$205,"&lt;="&amp;$D$6)=0,"No data yet",COUNTIFS('Care Access'!$A$6:$A$205,"&gt;="&amp;$B$6,'Care Access'!$A$6:$A$205,"&lt;="&amp;$D$6,'Care Access'!$D$6:$D$205,"&lt;&gt;Completed / resolved",'Care Access'!$D$6:$D$205,"&lt;&gt;Approved",'Care Access'!$D$6:$D$205,"&lt;&gt;"))</f>
        <v>3</v>
      </c>
      <c r="F17" s="36"/>
      <c r="G17" s="36">
        <f>IF(COUNTIFS(Labs!$A$6:$A$255,"&gt;="&amp;$B$6,Labs!$A$6:$A$255,"&lt;="&amp;$D$6)=0,"No data yet",COUNTIFS(Labs!$A$6:$A$255,"&gt;="&amp;$B$6,Labs!$A$6:$A$255,"&lt;="&amp;$D$6))</f>
        <v>8</v>
      </c>
      <c r="H17" s="36"/>
      <c r="J17" s="8">
        <f>IF('Daily Check-In'!A17="","",'Daily Check-In'!A17)</f>
        <v>46286</v>
      </c>
      <c r="K17">
        <f>IF(OR('Daily Check-In'!A17="",'Daily Check-In'!C17=""),"",'Daily Check-In'!C17)</f>
        <v>9</v>
      </c>
      <c r="L17">
        <f>IF(OR('Daily Check-In'!A17="",'Daily Check-In'!D17=""),"",'Daily Check-In'!D17)</f>
        <v>8</v>
      </c>
      <c r="M17">
        <f>IF(OR('Daily Check-In'!A17="",'Daily Check-In'!E17=""),"",'Daily Check-In'!E17)</f>
        <v>9</v>
      </c>
    </row>
    <row r="18" spans="1:13">
      <c r="J18" s="8">
        <f>IF('Daily Check-In'!A18="","",'Daily Check-In'!A18)</f>
        <v>46287</v>
      </c>
      <c r="K18">
        <f>IF(OR('Daily Check-In'!A18="",'Daily Check-In'!C18=""),"",'Daily Check-In'!C18)</f>
        <v>8</v>
      </c>
      <c r="L18">
        <f>IF(OR('Daily Check-In'!A18="",'Daily Check-In'!D18=""),"",'Daily Check-In'!D18)</f>
        <v>7</v>
      </c>
      <c r="M18">
        <f>IF(OR('Daily Check-In'!A18="",'Daily Check-In'!E18=""),"",'Daily Check-In'!E18)</f>
        <v>8</v>
      </c>
    </row>
    <row r="19" spans="1:13">
      <c r="J19" s="8">
        <f>IF('Daily Check-In'!A19="","",'Daily Check-In'!A19)</f>
        <v>46288</v>
      </c>
      <c r="K19">
        <f>IF(OR('Daily Check-In'!A19="",'Daily Check-In'!C19=""),"",'Daily Check-In'!C19)</f>
        <v>7</v>
      </c>
      <c r="L19">
        <f>IF(OR('Daily Check-In'!A19="",'Daily Check-In'!D19=""),"",'Daily Check-In'!D19)</f>
        <v>6</v>
      </c>
      <c r="M19">
        <f>IF(OR('Daily Check-In'!A19="",'Daily Check-In'!E19=""),"",'Daily Check-In'!E19)</f>
        <v>8</v>
      </c>
    </row>
    <row r="20" spans="1:13" ht="15">
      <c r="A20" s="25" t="s">
        <v>723</v>
      </c>
      <c r="B20" s="25"/>
      <c r="C20" s="25"/>
      <c r="D20" s="25"/>
      <c r="E20" s="25"/>
      <c r="F20" s="25"/>
      <c r="G20" s="25"/>
      <c r="H20" s="25"/>
      <c r="J20" s="8">
        <f>IF('Daily Check-In'!A20="","",'Daily Check-In'!A20)</f>
        <v>46289</v>
      </c>
      <c r="K20">
        <f>IF(OR('Daily Check-In'!A20="",'Daily Check-In'!C20=""),"",'Daily Check-In'!C20)</f>
        <v>7</v>
      </c>
      <c r="L20">
        <f>IF(OR('Daily Check-In'!A20="",'Daily Check-In'!D20=""),"",'Daily Check-In'!D20)</f>
        <v>6</v>
      </c>
      <c r="M20">
        <f>IF(OR('Daily Check-In'!A20="",'Daily Check-In'!E20=""),"",'Daily Check-In'!E20)</f>
        <v>7</v>
      </c>
    </row>
    <row r="21" spans="1:13" ht="33.950000000000003" customHeight="1">
      <c r="A21" s="27" t="s">
        <v>724</v>
      </c>
      <c r="B21" s="27"/>
      <c r="C21" s="27"/>
      <c r="D21" s="27"/>
      <c r="E21" s="27"/>
      <c r="F21" s="27"/>
      <c r="G21" s="27"/>
      <c r="H21" s="27"/>
      <c r="J21" s="8">
        <f>IF('Daily Check-In'!A21="","",'Daily Check-In'!A21)</f>
        <v>46290</v>
      </c>
      <c r="K21">
        <f>IF(OR('Daily Check-In'!A21="",'Daily Check-In'!C21=""),"",'Daily Check-In'!C21)</f>
        <v>6</v>
      </c>
      <c r="L21">
        <f>IF(OR('Daily Check-In'!A21="",'Daily Check-In'!D21=""),"",'Daily Check-In'!D21)</f>
        <v>5</v>
      </c>
      <c r="M21">
        <f>IF(OR('Daily Check-In'!A21="",'Daily Check-In'!E21=""),"",'Daily Check-In'!E21)</f>
        <v>7</v>
      </c>
    </row>
    <row r="22" spans="1:13" ht="33.950000000000003" customHeight="1">
      <c r="A22" s="27" t="s">
        <v>725</v>
      </c>
      <c r="B22" s="27"/>
      <c r="C22" s="27"/>
      <c r="D22" s="27"/>
      <c r="E22" s="27"/>
      <c r="F22" s="27"/>
      <c r="G22" s="27"/>
      <c r="H22" s="27"/>
      <c r="J22" s="8">
        <f>IF('Daily Check-In'!A22="","",'Daily Check-In'!A22)</f>
        <v>46291</v>
      </c>
      <c r="K22">
        <f>IF(OR('Daily Check-In'!A22="",'Daily Check-In'!C22=""),"",'Daily Check-In'!C22)</f>
        <v>6</v>
      </c>
      <c r="L22">
        <f>IF(OR('Daily Check-In'!A22="",'Daily Check-In'!D22=""),"",'Daily Check-In'!D22)</f>
        <v>5</v>
      </c>
      <c r="M22">
        <f>IF(OR('Daily Check-In'!A22="",'Daily Check-In'!E22=""),"",'Daily Check-In'!E22)</f>
        <v>6</v>
      </c>
    </row>
    <row r="23" spans="1:13" ht="33.950000000000003" customHeight="1">
      <c r="A23" s="27" t="s">
        <v>726</v>
      </c>
      <c r="B23" s="27"/>
      <c r="C23" s="27"/>
      <c r="D23" s="27"/>
      <c r="E23" s="27"/>
      <c r="F23" s="27"/>
      <c r="G23" s="27"/>
      <c r="H23" s="27"/>
      <c r="J23" s="8">
        <f>IF('Daily Check-In'!A23="","",'Daily Check-In'!A23)</f>
        <v>46292</v>
      </c>
      <c r="K23">
        <f>IF(OR('Daily Check-In'!A23="",'Daily Check-In'!C23=""),"",'Daily Check-In'!C23)</f>
        <v>5</v>
      </c>
      <c r="L23">
        <f>IF(OR('Daily Check-In'!A23="",'Daily Check-In'!D23=""),"",'Daily Check-In'!D23)</f>
        <v>4</v>
      </c>
      <c r="M23">
        <f>IF(OR('Daily Check-In'!A23="",'Daily Check-In'!E23=""),"",'Daily Check-In'!E23)</f>
        <v>6</v>
      </c>
    </row>
    <row r="24" spans="1:13" ht="33.950000000000003" customHeight="1">
      <c r="A24" s="27" t="s">
        <v>727</v>
      </c>
      <c r="B24" s="27"/>
      <c r="C24" s="27"/>
      <c r="D24" s="27"/>
      <c r="E24" s="27"/>
      <c r="F24" s="27"/>
      <c r="G24" s="27"/>
      <c r="H24" s="27"/>
      <c r="J24" s="8">
        <f>IF('Daily Check-In'!A24="","",'Daily Check-In'!A24)</f>
        <v>46293</v>
      </c>
      <c r="K24">
        <f>IF(OR('Daily Check-In'!A24="",'Daily Check-In'!C24=""),"",'Daily Check-In'!C24)</f>
        <v>5</v>
      </c>
      <c r="L24">
        <f>IF(OR('Daily Check-In'!A24="",'Daily Check-In'!D24=""),"",'Daily Check-In'!D24)</f>
        <v>4</v>
      </c>
      <c r="M24">
        <f>IF(OR('Daily Check-In'!A24="",'Daily Check-In'!E24=""),"",'Daily Check-In'!E24)</f>
        <v>5</v>
      </c>
    </row>
    <row r="25" spans="1:13">
      <c r="J25" s="8">
        <f>IF('Daily Check-In'!A25="","",'Daily Check-In'!A25)</f>
        <v>46294</v>
      </c>
      <c r="K25">
        <f>IF(OR('Daily Check-In'!A25="",'Daily Check-In'!C25=""),"",'Daily Check-In'!C25)</f>
        <v>4</v>
      </c>
      <c r="L25">
        <f>IF(OR('Daily Check-In'!A25="",'Daily Check-In'!D25=""),"",'Daily Check-In'!D25)</f>
        <v>3</v>
      </c>
      <c r="M25">
        <f>IF(OR('Daily Check-In'!A25="",'Daily Check-In'!E25=""),"",'Daily Check-In'!E25)</f>
        <v>5</v>
      </c>
    </row>
    <row r="26" spans="1:13">
      <c r="J26" s="8">
        <f>IF('Daily Check-In'!A26="","",'Daily Check-In'!A26)</f>
        <v>46295</v>
      </c>
      <c r="K26">
        <f>IF(OR('Daily Check-In'!A26="",'Daily Check-In'!C26=""),"",'Daily Check-In'!C26)</f>
        <v>4</v>
      </c>
      <c r="L26">
        <f>IF(OR('Daily Check-In'!A26="",'Daily Check-In'!D26=""),"",'Daily Check-In'!D26)</f>
        <v>3</v>
      </c>
      <c r="M26">
        <f>IF(OR('Daily Check-In'!A26="",'Daily Check-In'!E26=""),"",'Daily Check-In'!E26)</f>
        <v>4</v>
      </c>
    </row>
    <row r="27" spans="1:13">
      <c r="J27" s="8">
        <f>IF('Daily Check-In'!A27="","",'Daily Check-In'!A27)</f>
        <v>46296</v>
      </c>
      <c r="K27">
        <f>IF(OR('Daily Check-In'!A27="",'Daily Check-In'!C27=""),"",'Daily Check-In'!C27)</f>
        <v>3</v>
      </c>
      <c r="L27">
        <f>IF(OR('Daily Check-In'!A27="",'Daily Check-In'!D27=""),"",'Daily Check-In'!D27)</f>
        <v>2</v>
      </c>
      <c r="M27">
        <f>IF(OR('Daily Check-In'!A27="",'Daily Check-In'!E27=""),"",'Daily Check-In'!E27)</f>
        <v>4</v>
      </c>
    </row>
    <row r="28" spans="1:13">
      <c r="J28" s="8">
        <f>IF('Daily Check-In'!A28="","",'Daily Check-In'!A28)</f>
        <v>46297</v>
      </c>
      <c r="K28">
        <f>IF(OR('Daily Check-In'!A28="",'Daily Check-In'!C28=""),"",'Daily Check-In'!C28)</f>
        <v>3</v>
      </c>
      <c r="L28">
        <f>IF(OR('Daily Check-In'!A28="",'Daily Check-In'!D28=""),"",'Daily Check-In'!D28)</f>
        <v>2</v>
      </c>
      <c r="M28">
        <f>IF(OR('Daily Check-In'!A28="",'Daily Check-In'!E28=""),"",'Daily Check-In'!E28)</f>
        <v>4</v>
      </c>
    </row>
    <row r="29" spans="1:13">
      <c r="J29" s="8">
        <f>IF('Daily Check-In'!A29="","",'Daily Check-In'!A29)</f>
        <v>46298</v>
      </c>
      <c r="K29">
        <f>IF(OR('Daily Check-In'!A29="",'Daily Check-In'!C29=""),"",'Daily Check-In'!C29)</f>
        <v>4</v>
      </c>
      <c r="L29">
        <f>IF(OR('Daily Check-In'!A29="",'Daily Check-In'!D29=""),"",'Daily Check-In'!D29)</f>
        <v>3</v>
      </c>
      <c r="M29">
        <f>IF(OR('Daily Check-In'!A29="",'Daily Check-In'!E29=""),"",'Daily Check-In'!E29)</f>
        <v>4</v>
      </c>
    </row>
    <row r="30" spans="1:13">
      <c r="J30" s="8">
        <f>IF('Daily Check-In'!A30="","",'Daily Check-In'!A30)</f>
        <v>46299</v>
      </c>
      <c r="K30">
        <f>IF(OR('Daily Check-In'!A30="",'Daily Check-In'!C30=""),"",'Daily Check-In'!C30)</f>
        <v>3</v>
      </c>
      <c r="L30">
        <f>IF(OR('Daily Check-In'!A30="",'Daily Check-In'!D30=""),"",'Daily Check-In'!D30)</f>
        <v>2</v>
      </c>
      <c r="M30">
        <f>IF(OR('Daily Check-In'!A30="",'Daily Check-In'!E30=""),"",'Daily Check-In'!E30)</f>
        <v>4</v>
      </c>
    </row>
    <row r="31" spans="1:13">
      <c r="J31" s="8">
        <f>IF('Daily Check-In'!A31="","",'Daily Check-In'!A31)</f>
        <v>46300</v>
      </c>
      <c r="K31">
        <f>IF(OR('Daily Check-In'!A31="",'Daily Check-In'!C31=""),"",'Daily Check-In'!C31)</f>
        <v>3</v>
      </c>
      <c r="L31">
        <f>IF(OR('Daily Check-In'!A31="",'Daily Check-In'!D31=""),"",'Daily Check-In'!D31)</f>
        <v>2</v>
      </c>
      <c r="M31">
        <f>IF(OR('Daily Check-In'!A31="",'Daily Check-In'!E31=""),"",'Daily Check-In'!E31)</f>
        <v>3</v>
      </c>
    </row>
    <row r="32" spans="1:13">
      <c r="J32" s="8">
        <f>IF('Daily Check-In'!A32="","",'Daily Check-In'!A32)</f>
        <v>46301</v>
      </c>
      <c r="K32">
        <f>IF(OR('Daily Check-In'!A32="",'Daily Check-In'!C32=""),"",'Daily Check-In'!C32)</f>
        <v>3</v>
      </c>
      <c r="L32">
        <f>IF(OR('Daily Check-In'!A32="",'Daily Check-In'!D32=""),"",'Daily Check-In'!D32)</f>
        <v>2</v>
      </c>
      <c r="M32">
        <f>IF(OR('Daily Check-In'!A32="",'Daily Check-In'!E32=""),"",'Daily Check-In'!E32)</f>
        <v>3</v>
      </c>
    </row>
    <row r="33" spans="10:13">
      <c r="J33" s="8">
        <f>IF('Daily Check-In'!A33="","",'Daily Check-In'!A33)</f>
        <v>46302</v>
      </c>
      <c r="K33">
        <f>IF(OR('Daily Check-In'!A33="",'Daily Check-In'!C33=""),"",'Daily Check-In'!C33)</f>
        <v>3</v>
      </c>
      <c r="L33">
        <f>IF(OR('Daily Check-In'!A33="",'Daily Check-In'!D33=""),"",'Daily Check-In'!D33)</f>
        <v>2</v>
      </c>
      <c r="M33">
        <f>IF(OR('Daily Check-In'!A33="",'Daily Check-In'!E33=""),"",'Daily Check-In'!E33)</f>
        <v>4</v>
      </c>
    </row>
    <row r="34" spans="10:13">
      <c r="J34" s="8" t="str">
        <f>IF('Daily Check-In'!A34="","",'Daily Check-In'!A34)</f>
        <v/>
      </c>
      <c r="K34" t="str">
        <f>IF(OR('Daily Check-In'!A34="",'Daily Check-In'!C34=""),"",'Daily Check-In'!C34)</f>
        <v/>
      </c>
      <c r="L34" t="str">
        <f>IF(OR('Daily Check-In'!A34="",'Daily Check-In'!D34=""),"",'Daily Check-In'!D34)</f>
        <v/>
      </c>
      <c r="M34" t="str">
        <f>IF(OR('Daily Check-In'!A34="",'Daily Check-In'!E34=""),"",'Daily Check-In'!E34)</f>
        <v/>
      </c>
    </row>
    <row r="35" spans="10:13">
      <c r="J35" s="8" t="str">
        <f>IF('Daily Check-In'!A35="","",'Daily Check-In'!A35)</f>
        <v/>
      </c>
      <c r="K35" t="str">
        <f>IF(OR('Daily Check-In'!A35="",'Daily Check-In'!C35=""),"",'Daily Check-In'!C35)</f>
        <v/>
      </c>
      <c r="L35" t="str">
        <f>IF(OR('Daily Check-In'!A35="",'Daily Check-In'!D35=""),"",'Daily Check-In'!D35)</f>
        <v/>
      </c>
      <c r="M35" t="str">
        <f>IF(OR('Daily Check-In'!A35="",'Daily Check-In'!E35=""),"",'Daily Check-In'!E35)</f>
        <v/>
      </c>
    </row>
    <row r="36" spans="10:13">
      <c r="J36" s="8" t="str">
        <f>IF('Daily Check-In'!A36="","",'Daily Check-In'!A36)</f>
        <v/>
      </c>
      <c r="K36" t="str">
        <f>IF(OR('Daily Check-In'!A36="",'Daily Check-In'!C36=""),"",'Daily Check-In'!C36)</f>
        <v/>
      </c>
      <c r="L36" t="str">
        <f>IF(OR('Daily Check-In'!A36="",'Daily Check-In'!D36=""),"",'Daily Check-In'!D36)</f>
        <v/>
      </c>
      <c r="M36" t="str">
        <f>IF(OR('Daily Check-In'!A36="",'Daily Check-In'!E36=""),"",'Daily Check-In'!E36)</f>
        <v/>
      </c>
    </row>
    <row r="37" spans="10:13">
      <c r="J37" s="8" t="str">
        <f>IF('Daily Check-In'!A37="","",'Daily Check-In'!A37)</f>
        <v/>
      </c>
      <c r="K37" t="str">
        <f>IF(OR('Daily Check-In'!A37="",'Daily Check-In'!C37=""),"",'Daily Check-In'!C37)</f>
        <v/>
      </c>
      <c r="L37" t="str">
        <f>IF(OR('Daily Check-In'!A37="",'Daily Check-In'!D37=""),"",'Daily Check-In'!D37)</f>
        <v/>
      </c>
      <c r="M37" t="str">
        <f>IF(OR('Daily Check-In'!A37="",'Daily Check-In'!E37=""),"",'Daily Check-In'!E37)</f>
        <v/>
      </c>
    </row>
    <row r="38" spans="10:13">
      <c r="J38" s="8" t="str">
        <f>IF('Daily Check-In'!A38="","",'Daily Check-In'!A38)</f>
        <v/>
      </c>
      <c r="K38" t="str">
        <f>IF(OR('Daily Check-In'!A38="",'Daily Check-In'!C38=""),"",'Daily Check-In'!C38)</f>
        <v/>
      </c>
      <c r="L38" t="str">
        <f>IF(OR('Daily Check-In'!A38="",'Daily Check-In'!D38=""),"",'Daily Check-In'!D38)</f>
        <v/>
      </c>
      <c r="M38" t="str">
        <f>IF(OR('Daily Check-In'!A38="",'Daily Check-In'!E38=""),"",'Daily Check-In'!E38)</f>
        <v/>
      </c>
    </row>
    <row r="39" spans="10:13">
      <c r="J39" s="8" t="str">
        <f>IF('Daily Check-In'!A39="","",'Daily Check-In'!A39)</f>
        <v/>
      </c>
      <c r="K39" t="str">
        <f>IF(OR('Daily Check-In'!A39="",'Daily Check-In'!C39=""),"",'Daily Check-In'!C39)</f>
        <v/>
      </c>
      <c r="L39" t="str">
        <f>IF(OR('Daily Check-In'!A39="",'Daily Check-In'!D39=""),"",'Daily Check-In'!D39)</f>
        <v/>
      </c>
      <c r="M39" t="str">
        <f>IF(OR('Daily Check-In'!A39="",'Daily Check-In'!E39=""),"",'Daily Check-In'!E39)</f>
        <v/>
      </c>
    </row>
    <row r="40" spans="10:13">
      <c r="J40" s="8" t="str">
        <f>IF('Daily Check-In'!A40="","",'Daily Check-In'!A40)</f>
        <v/>
      </c>
      <c r="K40" t="str">
        <f>IF(OR('Daily Check-In'!A40="",'Daily Check-In'!C40=""),"",'Daily Check-In'!C40)</f>
        <v/>
      </c>
      <c r="L40" t="str">
        <f>IF(OR('Daily Check-In'!A40="",'Daily Check-In'!D40=""),"",'Daily Check-In'!D40)</f>
        <v/>
      </c>
      <c r="M40" t="str">
        <f>IF(OR('Daily Check-In'!A40="",'Daily Check-In'!E40=""),"",'Daily Check-In'!E40)</f>
        <v/>
      </c>
    </row>
    <row r="41" spans="10:13">
      <c r="J41" s="8" t="str">
        <f>IF('Daily Check-In'!A41="","",'Daily Check-In'!A41)</f>
        <v/>
      </c>
      <c r="K41" t="str">
        <f>IF(OR('Daily Check-In'!A41="",'Daily Check-In'!C41=""),"",'Daily Check-In'!C41)</f>
        <v/>
      </c>
      <c r="L41" t="str">
        <f>IF(OR('Daily Check-In'!A41="",'Daily Check-In'!D41=""),"",'Daily Check-In'!D41)</f>
        <v/>
      </c>
      <c r="M41" t="str">
        <f>IF(OR('Daily Check-In'!A41="",'Daily Check-In'!E41=""),"",'Daily Check-In'!E41)</f>
        <v/>
      </c>
    </row>
    <row r="42" spans="10:13">
      <c r="J42" s="8" t="str">
        <f>IF('Daily Check-In'!A42="","",'Daily Check-In'!A42)</f>
        <v/>
      </c>
      <c r="K42" t="str">
        <f>IF(OR('Daily Check-In'!A42="",'Daily Check-In'!C42=""),"",'Daily Check-In'!C42)</f>
        <v/>
      </c>
      <c r="L42" t="str">
        <f>IF(OR('Daily Check-In'!A42="",'Daily Check-In'!D42=""),"",'Daily Check-In'!D42)</f>
        <v/>
      </c>
      <c r="M42" t="str">
        <f>IF(OR('Daily Check-In'!A42="",'Daily Check-In'!E42=""),"",'Daily Check-In'!E42)</f>
        <v/>
      </c>
    </row>
    <row r="43" spans="10:13">
      <c r="J43" s="8" t="str">
        <f>IF('Daily Check-In'!A43="","",'Daily Check-In'!A43)</f>
        <v/>
      </c>
      <c r="K43" t="str">
        <f>IF(OR('Daily Check-In'!A43="",'Daily Check-In'!C43=""),"",'Daily Check-In'!C43)</f>
        <v/>
      </c>
      <c r="L43" t="str">
        <f>IF(OR('Daily Check-In'!A43="",'Daily Check-In'!D43=""),"",'Daily Check-In'!D43)</f>
        <v/>
      </c>
      <c r="M43" t="str">
        <f>IF(OR('Daily Check-In'!A43="",'Daily Check-In'!E43=""),"",'Daily Check-In'!E43)</f>
        <v/>
      </c>
    </row>
    <row r="44" spans="10:13">
      <c r="J44" s="8" t="str">
        <f>IF('Daily Check-In'!A44="","",'Daily Check-In'!A44)</f>
        <v/>
      </c>
      <c r="K44" t="str">
        <f>IF(OR('Daily Check-In'!A44="",'Daily Check-In'!C44=""),"",'Daily Check-In'!C44)</f>
        <v/>
      </c>
      <c r="L44" t="str">
        <f>IF(OR('Daily Check-In'!A44="",'Daily Check-In'!D44=""),"",'Daily Check-In'!D44)</f>
        <v/>
      </c>
      <c r="M44" t="str">
        <f>IF(OR('Daily Check-In'!A44="",'Daily Check-In'!E44=""),"",'Daily Check-In'!E44)</f>
        <v/>
      </c>
    </row>
    <row r="45" spans="10:13">
      <c r="J45" s="8" t="str">
        <f>IF('Daily Check-In'!A45="","",'Daily Check-In'!A45)</f>
        <v/>
      </c>
      <c r="K45" t="str">
        <f>IF(OR('Daily Check-In'!A45="",'Daily Check-In'!C45=""),"",'Daily Check-In'!C45)</f>
        <v/>
      </c>
      <c r="L45" t="str">
        <f>IF(OR('Daily Check-In'!A45="",'Daily Check-In'!D45=""),"",'Daily Check-In'!D45)</f>
        <v/>
      </c>
      <c r="M45" t="str">
        <f>IF(OR('Daily Check-In'!A45="",'Daily Check-In'!E45=""),"",'Daily Check-In'!E45)</f>
        <v/>
      </c>
    </row>
    <row r="46" spans="10:13">
      <c r="J46" s="8" t="str">
        <f>IF('Daily Check-In'!A46="","",'Daily Check-In'!A46)</f>
        <v/>
      </c>
      <c r="K46" t="str">
        <f>IF(OR('Daily Check-In'!A46="",'Daily Check-In'!C46=""),"",'Daily Check-In'!C46)</f>
        <v/>
      </c>
      <c r="L46" t="str">
        <f>IF(OR('Daily Check-In'!A46="",'Daily Check-In'!D46=""),"",'Daily Check-In'!D46)</f>
        <v/>
      </c>
      <c r="M46" t="str">
        <f>IF(OR('Daily Check-In'!A46="",'Daily Check-In'!E46=""),"",'Daily Check-In'!E46)</f>
        <v/>
      </c>
    </row>
    <row r="47" spans="10:13">
      <c r="J47" s="8" t="str">
        <f>IF('Daily Check-In'!A47="","",'Daily Check-In'!A47)</f>
        <v/>
      </c>
      <c r="K47" t="str">
        <f>IF(OR('Daily Check-In'!A47="",'Daily Check-In'!C47=""),"",'Daily Check-In'!C47)</f>
        <v/>
      </c>
      <c r="L47" t="str">
        <f>IF(OR('Daily Check-In'!A47="",'Daily Check-In'!D47=""),"",'Daily Check-In'!D47)</f>
        <v/>
      </c>
      <c r="M47" t="str">
        <f>IF(OR('Daily Check-In'!A47="",'Daily Check-In'!E47=""),"",'Daily Check-In'!E47)</f>
        <v/>
      </c>
    </row>
    <row r="48" spans="10:13">
      <c r="J48" s="8" t="str">
        <f>IF('Daily Check-In'!A48="","",'Daily Check-In'!A48)</f>
        <v/>
      </c>
      <c r="K48" t="str">
        <f>IF(OR('Daily Check-In'!A48="",'Daily Check-In'!C48=""),"",'Daily Check-In'!C48)</f>
        <v/>
      </c>
      <c r="L48" t="str">
        <f>IF(OR('Daily Check-In'!A48="",'Daily Check-In'!D48=""),"",'Daily Check-In'!D48)</f>
        <v/>
      </c>
      <c r="M48" t="str">
        <f>IF(OR('Daily Check-In'!A48="",'Daily Check-In'!E48=""),"",'Daily Check-In'!E48)</f>
        <v/>
      </c>
    </row>
    <row r="49" spans="10:13">
      <c r="J49" s="8" t="str">
        <f>IF('Daily Check-In'!A49="","",'Daily Check-In'!A49)</f>
        <v/>
      </c>
      <c r="K49" t="str">
        <f>IF(OR('Daily Check-In'!A49="",'Daily Check-In'!C49=""),"",'Daily Check-In'!C49)</f>
        <v/>
      </c>
      <c r="L49" t="str">
        <f>IF(OR('Daily Check-In'!A49="",'Daily Check-In'!D49=""),"",'Daily Check-In'!D49)</f>
        <v/>
      </c>
      <c r="M49" t="str">
        <f>IF(OR('Daily Check-In'!A49="",'Daily Check-In'!E49=""),"",'Daily Check-In'!E49)</f>
        <v/>
      </c>
    </row>
    <row r="50" spans="10:13">
      <c r="J50" s="8" t="str">
        <f>IF('Daily Check-In'!A50="","",'Daily Check-In'!A50)</f>
        <v/>
      </c>
      <c r="K50" t="str">
        <f>IF(OR('Daily Check-In'!A50="",'Daily Check-In'!C50=""),"",'Daily Check-In'!C50)</f>
        <v/>
      </c>
      <c r="L50" t="str">
        <f>IF(OR('Daily Check-In'!A50="",'Daily Check-In'!D50=""),"",'Daily Check-In'!D50)</f>
        <v/>
      </c>
      <c r="M50" t="str">
        <f>IF(OR('Daily Check-In'!A50="",'Daily Check-In'!E50=""),"",'Daily Check-In'!E50)</f>
        <v/>
      </c>
    </row>
    <row r="51" spans="10:13">
      <c r="J51" s="8" t="str">
        <f>IF('Daily Check-In'!A51="","",'Daily Check-In'!A51)</f>
        <v/>
      </c>
      <c r="K51" t="str">
        <f>IF(OR('Daily Check-In'!A51="",'Daily Check-In'!C51=""),"",'Daily Check-In'!C51)</f>
        <v/>
      </c>
      <c r="L51" t="str">
        <f>IF(OR('Daily Check-In'!A51="",'Daily Check-In'!D51=""),"",'Daily Check-In'!D51)</f>
        <v/>
      </c>
      <c r="M51" t="str">
        <f>IF(OR('Daily Check-In'!A51="",'Daily Check-In'!E51=""),"",'Daily Check-In'!E51)</f>
        <v/>
      </c>
    </row>
    <row r="52" spans="10:13">
      <c r="J52" s="8" t="str">
        <f>IF('Daily Check-In'!A52="","",'Daily Check-In'!A52)</f>
        <v/>
      </c>
      <c r="K52" t="str">
        <f>IF(OR('Daily Check-In'!A52="",'Daily Check-In'!C52=""),"",'Daily Check-In'!C52)</f>
        <v/>
      </c>
      <c r="L52" t="str">
        <f>IF(OR('Daily Check-In'!A52="",'Daily Check-In'!D52=""),"",'Daily Check-In'!D52)</f>
        <v/>
      </c>
      <c r="M52" t="str">
        <f>IF(OR('Daily Check-In'!A52="",'Daily Check-In'!E52=""),"",'Daily Check-In'!E52)</f>
        <v/>
      </c>
    </row>
    <row r="53" spans="10:13">
      <c r="J53" s="8" t="str">
        <f>IF('Daily Check-In'!A53="","",'Daily Check-In'!A53)</f>
        <v/>
      </c>
      <c r="K53" t="str">
        <f>IF(OR('Daily Check-In'!A53="",'Daily Check-In'!C53=""),"",'Daily Check-In'!C53)</f>
        <v/>
      </c>
      <c r="L53" t="str">
        <f>IF(OR('Daily Check-In'!A53="",'Daily Check-In'!D53=""),"",'Daily Check-In'!D53)</f>
        <v/>
      </c>
      <c r="M53" t="str">
        <f>IF(OR('Daily Check-In'!A53="",'Daily Check-In'!E53=""),"",'Daily Check-In'!E53)</f>
        <v/>
      </c>
    </row>
    <row r="54" spans="10:13">
      <c r="J54" s="8" t="str">
        <f>IF('Daily Check-In'!A54="","",'Daily Check-In'!A54)</f>
        <v/>
      </c>
      <c r="K54" t="str">
        <f>IF(OR('Daily Check-In'!A54="",'Daily Check-In'!C54=""),"",'Daily Check-In'!C54)</f>
        <v/>
      </c>
      <c r="L54" t="str">
        <f>IF(OR('Daily Check-In'!A54="",'Daily Check-In'!D54=""),"",'Daily Check-In'!D54)</f>
        <v/>
      </c>
      <c r="M54" t="str">
        <f>IF(OR('Daily Check-In'!A54="",'Daily Check-In'!E54=""),"",'Daily Check-In'!E54)</f>
        <v/>
      </c>
    </row>
    <row r="55" spans="10:13">
      <c r="J55" s="8" t="str">
        <f>IF('Daily Check-In'!A55="","",'Daily Check-In'!A55)</f>
        <v/>
      </c>
      <c r="K55" t="str">
        <f>IF(OR('Daily Check-In'!A55="",'Daily Check-In'!C55=""),"",'Daily Check-In'!C55)</f>
        <v/>
      </c>
      <c r="L55" t="str">
        <f>IF(OR('Daily Check-In'!A55="",'Daily Check-In'!D55=""),"",'Daily Check-In'!D55)</f>
        <v/>
      </c>
      <c r="M55" t="str">
        <f>IF(OR('Daily Check-In'!A55="",'Daily Check-In'!E55=""),"",'Daily Check-In'!E55)</f>
        <v/>
      </c>
    </row>
    <row r="56" spans="10:13">
      <c r="J56" s="8" t="str">
        <f>IF('Daily Check-In'!A56="","",'Daily Check-In'!A56)</f>
        <v/>
      </c>
      <c r="K56" t="str">
        <f>IF(OR('Daily Check-In'!A56="",'Daily Check-In'!C56=""),"",'Daily Check-In'!C56)</f>
        <v/>
      </c>
      <c r="L56" t="str">
        <f>IF(OR('Daily Check-In'!A56="",'Daily Check-In'!D56=""),"",'Daily Check-In'!D56)</f>
        <v/>
      </c>
      <c r="M56" t="str">
        <f>IF(OR('Daily Check-In'!A56="",'Daily Check-In'!E56=""),"",'Daily Check-In'!E56)</f>
        <v/>
      </c>
    </row>
    <row r="57" spans="10:13">
      <c r="J57" s="8" t="str">
        <f>IF('Daily Check-In'!A57="","",'Daily Check-In'!A57)</f>
        <v/>
      </c>
      <c r="K57" t="str">
        <f>IF(OR('Daily Check-In'!A57="",'Daily Check-In'!C57=""),"",'Daily Check-In'!C57)</f>
        <v/>
      </c>
      <c r="L57" t="str">
        <f>IF(OR('Daily Check-In'!A57="",'Daily Check-In'!D57=""),"",'Daily Check-In'!D57)</f>
        <v/>
      </c>
      <c r="M57" t="str">
        <f>IF(OR('Daily Check-In'!A57="",'Daily Check-In'!E57=""),"",'Daily Check-In'!E57)</f>
        <v/>
      </c>
    </row>
    <row r="58" spans="10:13">
      <c r="J58" s="8" t="str">
        <f>IF('Daily Check-In'!A58="","",'Daily Check-In'!A58)</f>
        <v/>
      </c>
      <c r="K58" t="str">
        <f>IF(OR('Daily Check-In'!A58="",'Daily Check-In'!C58=""),"",'Daily Check-In'!C58)</f>
        <v/>
      </c>
      <c r="L58" t="str">
        <f>IF(OR('Daily Check-In'!A58="",'Daily Check-In'!D58=""),"",'Daily Check-In'!D58)</f>
        <v/>
      </c>
      <c r="M58" t="str">
        <f>IF(OR('Daily Check-In'!A58="",'Daily Check-In'!E58=""),"",'Daily Check-In'!E58)</f>
        <v/>
      </c>
    </row>
    <row r="59" spans="10:13">
      <c r="J59" s="8" t="str">
        <f>IF('Daily Check-In'!A59="","",'Daily Check-In'!A59)</f>
        <v/>
      </c>
      <c r="K59" t="str">
        <f>IF(OR('Daily Check-In'!A59="",'Daily Check-In'!C59=""),"",'Daily Check-In'!C59)</f>
        <v/>
      </c>
      <c r="L59" t="str">
        <f>IF(OR('Daily Check-In'!A59="",'Daily Check-In'!D59=""),"",'Daily Check-In'!D59)</f>
        <v/>
      </c>
      <c r="M59" t="str">
        <f>IF(OR('Daily Check-In'!A59="",'Daily Check-In'!E59=""),"",'Daily Check-In'!E59)</f>
        <v/>
      </c>
    </row>
    <row r="60" spans="10:13">
      <c r="J60" s="8" t="str">
        <f>IF('Daily Check-In'!A60="","",'Daily Check-In'!A60)</f>
        <v/>
      </c>
      <c r="K60" t="str">
        <f>IF(OR('Daily Check-In'!A60="",'Daily Check-In'!C60=""),"",'Daily Check-In'!C60)</f>
        <v/>
      </c>
      <c r="L60" t="str">
        <f>IF(OR('Daily Check-In'!A60="",'Daily Check-In'!D60=""),"",'Daily Check-In'!D60)</f>
        <v/>
      </c>
      <c r="M60" t="str">
        <f>IF(OR('Daily Check-In'!A60="",'Daily Check-In'!E60=""),"",'Daily Check-In'!E60)</f>
        <v/>
      </c>
    </row>
    <row r="61" spans="10:13">
      <c r="J61" s="8" t="str">
        <f>IF('Daily Check-In'!A61="","",'Daily Check-In'!A61)</f>
        <v/>
      </c>
      <c r="K61" t="str">
        <f>IF(OR('Daily Check-In'!A61="",'Daily Check-In'!C61=""),"",'Daily Check-In'!C61)</f>
        <v/>
      </c>
      <c r="L61" t="str">
        <f>IF(OR('Daily Check-In'!A61="",'Daily Check-In'!D61=""),"",'Daily Check-In'!D61)</f>
        <v/>
      </c>
      <c r="M61" t="str">
        <f>IF(OR('Daily Check-In'!A61="",'Daily Check-In'!E61=""),"",'Daily Check-In'!E61)</f>
        <v/>
      </c>
    </row>
    <row r="62" spans="10:13">
      <c r="J62" s="8" t="str">
        <f>IF('Daily Check-In'!A62="","",'Daily Check-In'!A62)</f>
        <v/>
      </c>
      <c r="K62" t="str">
        <f>IF(OR('Daily Check-In'!A62="",'Daily Check-In'!C62=""),"",'Daily Check-In'!C62)</f>
        <v/>
      </c>
      <c r="L62" t="str">
        <f>IF(OR('Daily Check-In'!A62="",'Daily Check-In'!D62=""),"",'Daily Check-In'!D62)</f>
        <v/>
      </c>
      <c r="M62" t="str">
        <f>IF(OR('Daily Check-In'!A62="",'Daily Check-In'!E62=""),"",'Daily Check-In'!E62)</f>
        <v/>
      </c>
    </row>
    <row r="63" spans="10:13">
      <c r="J63" s="8" t="str">
        <f>IF('Daily Check-In'!A63="","",'Daily Check-In'!A63)</f>
        <v/>
      </c>
      <c r="K63" t="str">
        <f>IF(OR('Daily Check-In'!A63="",'Daily Check-In'!C63=""),"",'Daily Check-In'!C63)</f>
        <v/>
      </c>
      <c r="L63" t="str">
        <f>IF(OR('Daily Check-In'!A63="",'Daily Check-In'!D63=""),"",'Daily Check-In'!D63)</f>
        <v/>
      </c>
      <c r="M63" t="str">
        <f>IF(OR('Daily Check-In'!A63="",'Daily Check-In'!E63=""),"",'Daily Check-In'!E63)</f>
        <v/>
      </c>
    </row>
    <row r="64" spans="10:13">
      <c r="J64" s="8" t="str">
        <f>IF('Daily Check-In'!A64="","",'Daily Check-In'!A64)</f>
        <v/>
      </c>
      <c r="K64" t="str">
        <f>IF(OR('Daily Check-In'!A64="",'Daily Check-In'!C64=""),"",'Daily Check-In'!C64)</f>
        <v/>
      </c>
      <c r="L64" t="str">
        <f>IF(OR('Daily Check-In'!A64="",'Daily Check-In'!D64=""),"",'Daily Check-In'!D64)</f>
        <v/>
      </c>
      <c r="M64" t="str">
        <f>IF(OR('Daily Check-In'!A64="",'Daily Check-In'!E64=""),"",'Daily Check-In'!E64)</f>
        <v/>
      </c>
    </row>
    <row r="65" spans="10:13">
      <c r="J65" s="8" t="str">
        <f>IF('Daily Check-In'!A65="","",'Daily Check-In'!A65)</f>
        <v/>
      </c>
      <c r="K65" t="str">
        <f>IF(OR('Daily Check-In'!A65="",'Daily Check-In'!C65=""),"",'Daily Check-In'!C65)</f>
        <v/>
      </c>
      <c r="L65" t="str">
        <f>IF(OR('Daily Check-In'!A65="",'Daily Check-In'!D65=""),"",'Daily Check-In'!D65)</f>
        <v/>
      </c>
      <c r="M65" t="str">
        <f>IF(OR('Daily Check-In'!A65="",'Daily Check-In'!E65=""),"",'Daily Check-In'!E65)</f>
        <v/>
      </c>
    </row>
    <row r="66" spans="10:13">
      <c r="J66" s="8" t="str">
        <f>IF('Daily Check-In'!A66="","",'Daily Check-In'!A66)</f>
        <v/>
      </c>
      <c r="K66" t="str">
        <f>IF(OR('Daily Check-In'!A66="",'Daily Check-In'!C66=""),"",'Daily Check-In'!C66)</f>
        <v/>
      </c>
      <c r="L66" t="str">
        <f>IF(OR('Daily Check-In'!A66="",'Daily Check-In'!D66=""),"",'Daily Check-In'!D66)</f>
        <v/>
      </c>
      <c r="M66" t="str">
        <f>IF(OR('Daily Check-In'!A66="",'Daily Check-In'!E66=""),"",'Daily Check-In'!E66)</f>
        <v/>
      </c>
    </row>
    <row r="67" spans="10:13">
      <c r="J67" s="8" t="str">
        <f>IF('Daily Check-In'!A67="","",'Daily Check-In'!A67)</f>
        <v/>
      </c>
      <c r="K67" t="str">
        <f>IF(OR('Daily Check-In'!A67="",'Daily Check-In'!C67=""),"",'Daily Check-In'!C67)</f>
        <v/>
      </c>
      <c r="L67" t="str">
        <f>IF(OR('Daily Check-In'!A67="",'Daily Check-In'!D67=""),"",'Daily Check-In'!D67)</f>
        <v/>
      </c>
      <c r="M67" t="str">
        <f>IF(OR('Daily Check-In'!A67="",'Daily Check-In'!E67=""),"",'Daily Check-In'!E67)</f>
        <v/>
      </c>
    </row>
    <row r="68" spans="10:13">
      <c r="J68" s="8" t="str">
        <f>IF('Daily Check-In'!A68="","",'Daily Check-In'!A68)</f>
        <v/>
      </c>
      <c r="K68" t="str">
        <f>IF(OR('Daily Check-In'!A68="",'Daily Check-In'!C68=""),"",'Daily Check-In'!C68)</f>
        <v/>
      </c>
      <c r="L68" t="str">
        <f>IF(OR('Daily Check-In'!A68="",'Daily Check-In'!D68=""),"",'Daily Check-In'!D68)</f>
        <v/>
      </c>
      <c r="M68" t="str">
        <f>IF(OR('Daily Check-In'!A68="",'Daily Check-In'!E68=""),"",'Daily Check-In'!E68)</f>
        <v/>
      </c>
    </row>
    <row r="69" spans="10:13">
      <c r="J69" s="8" t="str">
        <f>IF('Daily Check-In'!A69="","",'Daily Check-In'!A69)</f>
        <v/>
      </c>
      <c r="K69" t="str">
        <f>IF(OR('Daily Check-In'!A69="",'Daily Check-In'!C69=""),"",'Daily Check-In'!C69)</f>
        <v/>
      </c>
      <c r="L69" t="str">
        <f>IF(OR('Daily Check-In'!A69="",'Daily Check-In'!D69=""),"",'Daily Check-In'!D69)</f>
        <v/>
      </c>
      <c r="M69" t="str">
        <f>IF(OR('Daily Check-In'!A69="",'Daily Check-In'!E69=""),"",'Daily Check-In'!E69)</f>
        <v/>
      </c>
    </row>
    <row r="70" spans="10:13">
      <c r="J70" s="8" t="str">
        <f>IF('Daily Check-In'!A70="","",'Daily Check-In'!A70)</f>
        <v/>
      </c>
      <c r="K70" t="str">
        <f>IF(OR('Daily Check-In'!A70="",'Daily Check-In'!C70=""),"",'Daily Check-In'!C70)</f>
        <v/>
      </c>
      <c r="L70" t="str">
        <f>IF(OR('Daily Check-In'!A70="",'Daily Check-In'!D70=""),"",'Daily Check-In'!D70)</f>
        <v/>
      </c>
      <c r="M70" t="str">
        <f>IF(OR('Daily Check-In'!A70="",'Daily Check-In'!E70=""),"",'Daily Check-In'!E70)</f>
        <v/>
      </c>
    </row>
    <row r="71" spans="10:13">
      <c r="J71" s="8" t="str">
        <f>IF('Daily Check-In'!A71="","",'Daily Check-In'!A71)</f>
        <v/>
      </c>
      <c r="K71" t="str">
        <f>IF(OR('Daily Check-In'!A71="",'Daily Check-In'!C71=""),"",'Daily Check-In'!C71)</f>
        <v/>
      </c>
      <c r="L71" t="str">
        <f>IF(OR('Daily Check-In'!A71="",'Daily Check-In'!D71=""),"",'Daily Check-In'!D71)</f>
        <v/>
      </c>
      <c r="M71" t="str">
        <f>IF(OR('Daily Check-In'!A71="",'Daily Check-In'!E71=""),"",'Daily Check-In'!E71)</f>
        <v/>
      </c>
    </row>
    <row r="72" spans="10:13">
      <c r="J72" s="8" t="str">
        <f>IF('Daily Check-In'!A72="","",'Daily Check-In'!A72)</f>
        <v/>
      </c>
      <c r="K72" t="str">
        <f>IF(OR('Daily Check-In'!A72="",'Daily Check-In'!C72=""),"",'Daily Check-In'!C72)</f>
        <v/>
      </c>
      <c r="L72" t="str">
        <f>IF(OR('Daily Check-In'!A72="",'Daily Check-In'!D72=""),"",'Daily Check-In'!D72)</f>
        <v/>
      </c>
      <c r="M72" t="str">
        <f>IF(OR('Daily Check-In'!A72="",'Daily Check-In'!E72=""),"",'Daily Check-In'!E72)</f>
        <v/>
      </c>
    </row>
    <row r="73" spans="10:13">
      <c r="J73" s="8" t="str">
        <f>IF('Daily Check-In'!A73="","",'Daily Check-In'!A73)</f>
        <v/>
      </c>
      <c r="K73" t="str">
        <f>IF(OR('Daily Check-In'!A73="",'Daily Check-In'!C73=""),"",'Daily Check-In'!C73)</f>
        <v/>
      </c>
      <c r="L73" t="str">
        <f>IF(OR('Daily Check-In'!A73="",'Daily Check-In'!D73=""),"",'Daily Check-In'!D73)</f>
        <v/>
      </c>
      <c r="M73" t="str">
        <f>IF(OR('Daily Check-In'!A73="",'Daily Check-In'!E73=""),"",'Daily Check-In'!E73)</f>
        <v/>
      </c>
    </row>
    <row r="74" spans="10:13">
      <c r="J74" s="8" t="str">
        <f>IF('Daily Check-In'!A74="","",'Daily Check-In'!A74)</f>
        <v/>
      </c>
      <c r="K74" t="str">
        <f>IF(OR('Daily Check-In'!A74="",'Daily Check-In'!C74=""),"",'Daily Check-In'!C74)</f>
        <v/>
      </c>
      <c r="L74" t="str">
        <f>IF(OR('Daily Check-In'!A74="",'Daily Check-In'!D74=""),"",'Daily Check-In'!D74)</f>
        <v/>
      </c>
      <c r="M74" t="str">
        <f>IF(OR('Daily Check-In'!A74="",'Daily Check-In'!E74=""),"",'Daily Check-In'!E74)</f>
        <v/>
      </c>
    </row>
    <row r="75" spans="10:13">
      <c r="J75" s="8" t="str">
        <f>IF('Daily Check-In'!A75="","",'Daily Check-In'!A75)</f>
        <v/>
      </c>
      <c r="K75" t="str">
        <f>IF(OR('Daily Check-In'!A75="",'Daily Check-In'!C75=""),"",'Daily Check-In'!C75)</f>
        <v/>
      </c>
      <c r="L75" t="str">
        <f>IF(OR('Daily Check-In'!A75="",'Daily Check-In'!D75=""),"",'Daily Check-In'!D75)</f>
        <v/>
      </c>
      <c r="M75" t="str">
        <f>IF(OR('Daily Check-In'!A75="",'Daily Check-In'!E75=""),"",'Daily Check-In'!E75)</f>
        <v/>
      </c>
    </row>
    <row r="76" spans="10:13">
      <c r="J76" s="8" t="str">
        <f>IF('Daily Check-In'!A76="","",'Daily Check-In'!A76)</f>
        <v/>
      </c>
      <c r="K76" t="str">
        <f>IF(OR('Daily Check-In'!A76="",'Daily Check-In'!C76=""),"",'Daily Check-In'!C76)</f>
        <v/>
      </c>
      <c r="L76" t="str">
        <f>IF(OR('Daily Check-In'!A76="",'Daily Check-In'!D76=""),"",'Daily Check-In'!D76)</f>
        <v/>
      </c>
      <c r="M76" t="str">
        <f>IF(OR('Daily Check-In'!A76="",'Daily Check-In'!E76=""),"",'Daily Check-In'!E76)</f>
        <v/>
      </c>
    </row>
    <row r="77" spans="10:13">
      <c r="J77" s="8" t="str">
        <f>IF('Daily Check-In'!A77="","",'Daily Check-In'!A77)</f>
        <v/>
      </c>
      <c r="K77" t="str">
        <f>IF(OR('Daily Check-In'!A77="",'Daily Check-In'!C77=""),"",'Daily Check-In'!C77)</f>
        <v/>
      </c>
      <c r="L77" t="str">
        <f>IF(OR('Daily Check-In'!A77="",'Daily Check-In'!D77=""),"",'Daily Check-In'!D77)</f>
        <v/>
      </c>
      <c r="M77" t="str">
        <f>IF(OR('Daily Check-In'!A77="",'Daily Check-In'!E77=""),"",'Daily Check-In'!E77)</f>
        <v/>
      </c>
    </row>
    <row r="78" spans="10:13">
      <c r="J78" s="8" t="str">
        <f>IF('Daily Check-In'!A78="","",'Daily Check-In'!A78)</f>
        <v/>
      </c>
      <c r="K78" t="str">
        <f>IF(OR('Daily Check-In'!A78="",'Daily Check-In'!C78=""),"",'Daily Check-In'!C78)</f>
        <v/>
      </c>
      <c r="L78" t="str">
        <f>IF(OR('Daily Check-In'!A78="",'Daily Check-In'!D78=""),"",'Daily Check-In'!D78)</f>
        <v/>
      </c>
      <c r="M78" t="str">
        <f>IF(OR('Daily Check-In'!A78="",'Daily Check-In'!E78=""),"",'Daily Check-In'!E78)</f>
        <v/>
      </c>
    </row>
    <row r="79" spans="10:13">
      <c r="J79" s="8" t="str">
        <f>IF('Daily Check-In'!A79="","",'Daily Check-In'!A79)</f>
        <v/>
      </c>
      <c r="K79" t="str">
        <f>IF(OR('Daily Check-In'!A79="",'Daily Check-In'!C79=""),"",'Daily Check-In'!C79)</f>
        <v/>
      </c>
      <c r="L79" t="str">
        <f>IF(OR('Daily Check-In'!A79="",'Daily Check-In'!D79=""),"",'Daily Check-In'!D79)</f>
        <v/>
      </c>
      <c r="M79" t="str">
        <f>IF(OR('Daily Check-In'!A79="",'Daily Check-In'!E79=""),"",'Daily Check-In'!E79)</f>
        <v/>
      </c>
    </row>
    <row r="80" spans="10:13">
      <c r="J80" s="8" t="str">
        <f>IF('Daily Check-In'!A80="","",'Daily Check-In'!A80)</f>
        <v/>
      </c>
      <c r="K80" t="str">
        <f>IF(OR('Daily Check-In'!A80="",'Daily Check-In'!C80=""),"",'Daily Check-In'!C80)</f>
        <v/>
      </c>
      <c r="L80" t="str">
        <f>IF(OR('Daily Check-In'!A80="",'Daily Check-In'!D80=""),"",'Daily Check-In'!D80)</f>
        <v/>
      </c>
      <c r="M80" t="str">
        <f>IF(OR('Daily Check-In'!A80="",'Daily Check-In'!E80=""),"",'Daily Check-In'!E80)</f>
        <v/>
      </c>
    </row>
    <row r="81" spans="10:13">
      <c r="J81" s="8" t="str">
        <f>IF('Daily Check-In'!A81="","",'Daily Check-In'!A81)</f>
        <v/>
      </c>
      <c r="K81" t="str">
        <f>IF(OR('Daily Check-In'!A81="",'Daily Check-In'!C81=""),"",'Daily Check-In'!C81)</f>
        <v/>
      </c>
      <c r="L81" t="str">
        <f>IF(OR('Daily Check-In'!A81="",'Daily Check-In'!D81=""),"",'Daily Check-In'!D81)</f>
        <v/>
      </c>
      <c r="M81" t="str">
        <f>IF(OR('Daily Check-In'!A81="",'Daily Check-In'!E81=""),"",'Daily Check-In'!E81)</f>
        <v/>
      </c>
    </row>
    <row r="82" spans="10:13">
      <c r="J82" s="8" t="str">
        <f>IF('Daily Check-In'!A82="","",'Daily Check-In'!A82)</f>
        <v/>
      </c>
      <c r="K82" t="str">
        <f>IF(OR('Daily Check-In'!A82="",'Daily Check-In'!C82=""),"",'Daily Check-In'!C82)</f>
        <v/>
      </c>
      <c r="L82" t="str">
        <f>IF(OR('Daily Check-In'!A82="",'Daily Check-In'!D82=""),"",'Daily Check-In'!D82)</f>
        <v/>
      </c>
      <c r="M82" t="str">
        <f>IF(OR('Daily Check-In'!A82="",'Daily Check-In'!E82=""),"",'Daily Check-In'!E82)</f>
        <v/>
      </c>
    </row>
    <row r="83" spans="10:13">
      <c r="J83" s="8" t="str">
        <f>IF('Daily Check-In'!A83="","",'Daily Check-In'!A83)</f>
        <v/>
      </c>
      <c r="K83" t="str">
        <f>IF(OR('Daily Check-In'!A83="",'Daily Check-In'!C83=""),"",'Daily Check-In'!C83)</f>
        <v/>
      </c>
      <c r="L83" t="str">
        <f>IF(OR('Daily Check-In'!A83="",'Daily Check-In'!D83=""),"",'Daily Check-In'!D83)</f>
        <v/>
      </c>
      <c r="M83" t="str">
        <f>IF(OR('Daily Check-In'!A83="",'Daily Check-In'!E83=""),"",'Daily Check-In'!E83)</f>
        <v/>
      </c>
    </row>
    <row r="84" spans="10:13">
      <c r="J84" s="8" t="str">
        <f>IF('Daily Check-In'!A84="","",'Daily Check-In'!A84)</f>
        <v/>
      </c>
      <c r="K84" t="str">
        <f>IF(OR('Daily Check-In'!A84="",'Daily Check-In'!C84=""),"",'Daily Check-In'!C84)</f>
        <v/>
      </c>
      <c r="L84" t="str">
        <f>IF(OR('Daily Check-In'!A84="",'Daily Check-In'!D84=""),"",'Daily Check-In'!D84)</f>
        <v/>
      </c>
      <c r="M84" t="str">
        <f>IF(OR('Daily Check-In'!A84="",'Daily Check-In'!E84=""),"",'Daily Check-In'!E84)</f>
        <v/>
      </c>
    </row>
    <row r="85" spans="10:13">
      <c r="J85" s="8" t="str">
        <f>IF('Daily Check-In'!A85="","",'Daily Check-In'!A85)</f>
        <v/>
      </c>
      <c r="K85" t="str">
        <f>IF(OR('Daily Check-In'!A85="",'Daily Check-In'!C85=""),"",'Daily Check-In'!C85)</f>
        <v/>
      </c>
      <c r="L85" t="str">
        <f>IF(OR('Daily Check-In'!A85="",'Daily Check-In'!D85=""),"",'Daily Check-In'!D85)</f>
        <v/>
      </c>
      <c r="M85" t="str">
        <f>IF(OR('Daily Check-In'!A85="",'Daily Check-In'!E85=""),"",'Daily Check-In'!E85)</f>
        <v/>
      </c>
    </row>
    <row r="86" spans="10:13">
      <c r="J86" s="8" t="str">
        <f>IF('Daily Check-In'!A86="","",'Daily Check-In'!A86)</f>
        <v/>
      </c>
      <c r="K86" t="str">
        <f>IF(OR('Daily Check-In'!A86="",'Daily Check-In'!C86=""),"",'Daily Check-In'!C86)</f>
        <v/>
      </c>
      <c r="L86" t="str">
        <f>IF(OR('Daily Check-In'!A86="",'Daily Check-In'!D86=""),"",'Daily Check-In'!D86)</f>
        <v/>
      </c>
      <c r="M86" t="str">
        <f>IF(OR('Daily Check-In'!A86="",'Daily Check-In'!E86=""),"",'Daily Check-In'!E86)</f>
        <v/>
      </c>
    </row>
    <row r="87" spans="10:13">
      <c r="J87" s="8" t="str">
        <f>IF('Daily Check-In'!A87="","",'Daily Check-In'!A87)</f>
        <v/>
      </c>
      <c r="K87" t="str">
        <f>IF(OR('Daily Check-In'!A87="",'Daily Check-In'!C87=""),"",'Daily Check-In'!C87)</f>
        <v/>
      </c>
      <c r="L87" t="str">
        <f>IF(OR('Daily Check-In'!A87="",'Daily Check-In'!D87=""),"",'Daily Check-In'!D87)</f>
        <v/>
      </c>
      <c r="M87" t="str">
        <f>IF(OR('Daily Check-In'!A87="",'Daily Check-In'!E87=""),"",'Daily Check-In'!E87)</f>
        <v/>
      </c>
    </row>
    <row r="88" spans="10:13">
      <c r="J88" s="8" t="str">
        <f>IF('Daily Check-In'!A88="","",'Daily Check-In'!A88)</f>
        <v/>
      </c>
      <c r="K88" t="str">
        <f>IF(OR('Daily Check-In'!A88="",'Daily Check-In'!C88=""),"",'Daily Check-In'!C88)</f>
        <v/>
      </c>
      <c r="L88" t="str">
        <f>IF(OR('Daily Check-In'!A88="",'Daily Check-In'!D88=""),"",'Daily Check-In'!D88)</f>
        <v/>
      </c>
      <c r="M88" t="str">
        <f>IF(OR('Daily Check-In'!A88="",'Daily Check-In'!E88=""),"",'Daily Check-In'!E88)</f>
        <v/>
      </c>
    </row>
    <row r="89" spans="10:13">
      <c r="J89" s="8" t="str">
        <f>IF('Daily Check-In'!A89="","",'Daily Check-In'!A89)</f>
        <v/>
      </c>
      <c r="K89" t="str">
        <f>IF(OR('Daily Check-In'!A89="",'Daily Check-In'!C89=""),"",'Daily Check-In'!C89)</f>
        <v/>
      </c>
      <c r="L89" t="str">
        <f>IF(OR('Daily Check-In'!A89="",'Daily Check-In'!D89=""),"",'Daily Check-In'!D89)</f>
        <v/>
      </c>
      <c r="M89" t="str">
        <f>IF(OR('Daily Check-In'!A89="",'Daily Check-In'!E89=""),"",'Daily Check-In'!E89)</f>
        <v/>
      </c>
    </row>
    <row r="90" spans="10:13">
      <c r="J90" s="8" t="str">
        <f>IF('Daily Check-In'!A90="","",'Daily Check-In'!A90)</f>
        <v/>
      </c>
      <c r="K90" t="str">
        <f>IF(OR('Daily Check-In'!A90="",'Daily Check-In'!C90=""),"",'Daily Check-In'!C90)</f>
        <v/>
      </c>
      <c r="L90" t="str">
        <f>IF(OR('Daily Check-In'!A90="",'Daily Check-In'!D90=""),"",'Daily Check-In'!D90)</f>
        <v/>
      </c>
      <c r="M90" t="str">
        <f>IF(OR('Daily Check-In'!A90="",'Daily Check-In'!E90=""),"",'Daily Check-In'!E90)</f>
        <v/>
      </c>
    </row>
    <row r="91" spans="10:13">
      <c r="J91" s="8" t="str">
        <f>IF('Daily Check-In'!A91="","",'Daily Check-In'!A91)</f>
        <v/>
      </c>
      <c r="K91" t="str">
        <f>IF(OR('Daily Check-In'!A91="",'Daily Check-In'!C91=""),"",'Daily Check-In'!C91)</f>
        <v/>
      </c>
      <c r="L91" t="str">
        <f>IF(OR('Daily Check-In'!A91="",'Daily Check-In'!D91=""),"",'Daily Check-In'!D91)</f>
        <v/>
      </c>
      <c r="M91" t="str">
        <f>IF(OR('Daily Check-In'!A91="",'Daily Check-In'!E91=""),"",'Daily Check-In'!E91)</f>
        <v/>
      </c>
    </row>
    <row r="92" spans="10:13">
      <c r="J92" s="8" t="str">
        <f>IF('Daily Check-In'!A92="","",'Daily Check-In'!A92)</f>
        <v/>
      </c>
      <c r="K92" t="str">
        <f>IF(OR('Daily Check-In'!A92="",'Daily Check-In'!C92=""),"",'Daily Check-In'!C92)</f>
        <v/>
      </c>
      <c r="L92" t="str">
        <f>IF(OR('Daily Check-In'!A92="",'Daily Check-In'!D92=""),"",'Daily Check-In'!D92)</f>
        <v/>
      </c>
      <c r="M92" t="str">
        <f>IF(OR('Daily Check-In'!A92="",'Daily Check-In'!E92=""),"",'Daily Check-In'!E92)</f>
        <v/>
      </c>
    </row>
    <row r="93" spans="10:13">
      <c r="J93" s="8" t="str">
        <f>IF('Daily Check-In'!A93="","",'Daily Check-In'!A93)</f>
        <v/>
      </c>
      <c r="K93" t="str">
        <f>IF(OR('Daily Check-In'!A93="",'Daily Check-In'!C93=""),"",'Daily Check-In'!C93)</f>
        <v/>
      </c>
      <c r="L93" t="str">
        <f>IF(OR('Daily Check-In'!A93="",'Daily Check-In'!D93=""),"",'Daily Check-In'!D93)</f>
        <v/>
      </c>
      <c r="M93" t="str">
        <f>IF(OR('Daily Check-In'!A93="",'Daily Check-In'!E93=""),"",'Daily Check-In'!E93)</f>
        <v/>
      </c>
    </row>
    <row r="94" spans="10:13">
      <c r="J94" s="8" t="str">
        <f>IF('Daily Check-In'!A94="","",'Daily Check-In'!A94)</f>
        <v/>
      </c>
      <c r="K94" t="str">
        <f>IF(OR('Daily Check-In'!A94="",'Daily Check-In'!C94=""),"",'Daily Check-In'!C94)</f>
        <v/>
      </c>
      <c r="L94" t="str">
        <f>IF(OR('Daily Check-In'!A94="",'Daily Check-In'!D94=""),"",'Daily Check-In'!D94)</f>
        <v/>
      </c>
      <c r="M94" t="str">
        <f>IF(OR('Daily Check-In'!A94="",'Daily Check-In'!E94=""),"",'Daily Check-In'!E94)</f>
        <v/>
      </c>
    </row>
    <row r="95" spans="10:13">
      <c r="J95" s="8" t="str">
        <f>IF('Daily Check-In'!A95="","",'Daily Check-In'!A95)</f>
        <v/>
      </c>
      <c r="K95" t="str">
        <f>IF(OR('Daily Check-In'!A95="",'Daily Check-In'!C95=""),"",'Daily Check-In'!C95)</f>
        <v/>
      </c>
      <c r="L95" t="str">
        <f>IF(OR('Daily Check-In'!A95="",'Daily Check-In'!D95=""),"",'Daily Check-In'!D95)</f>
        <v/>
      </c>
      <c r="M95" t="str">
        <f>IF(OR('Daily Check-In'!A95="",'Daily Check-In'!E95=""),"",'Daily Check-In'!E95)</f>
        <v/>
      </c>
    </row>
    <row r="96" spans="10:13">
      <c r="J96" s="8" t="str">
        <f>IF('Daily Check-In'!A96="","",'Daily Check-In'!A96)</f>
        <v/>
      </c>
      <c r="K96" t="str">
        <f>IF(OR('Daily Check-In'!A96="",'Daily Check-In'!C96=""),"",'Daily Check-In'!C96)</f>
        <v/>
      </c>
      <c r="L96" t="str">
        <f>IF(OR('Daily Check-In'!A96="",'Daily Check-In'!D96=""),"",'Daily Check-In'!D96)</f>
        <v/>
      </c>
      <c r="M96" t="str">
        <f>IF(OR('Daily Check-In'!A96="",'Daily Check-In'!E96=""),"",'Daily Check-In'!E96)</f>
        <v/>
      </c>
    </row>
    <row r="97" spans="10:13">
      <c r="J97" s="8" t="str">
        <f>IF('Daily Check-In'!A97="","",'Daily Check-In'!A97)</f>
        <v/>
      </c>
      <c r="K97" t="str">
        <f>IF(OR('Daily Check-In'!A97="",'Daily Check-In'!C97=""),"",'Daily Check-In'!C97)</f>
        <v/>
      </c>
      <c r="L97" t="str">
        <f>IF(OR('Daily Check-In'!A97="",'Daily Check-In'!D97=""),"",'Daily Check-In'!D97)</f>
        <v/>
      </c>
      <c r="M97" t="str">
        <f>IF(OR('Daily Check-In'!A97="",'Daily Check-In'!E97=""),"",'Daily Check-In'!E97)</f>
        <v/>
      </c>
    </row>
    <row r="98" spans="10:13">
      <c r="J98" s="8" t="str">
        <f>IF('Daily Check-In'!A98="","",'Daily Check-In'!A98)</f>
        <v/>
      </c>
      <c r="K98" t="str">
        <f>IF(OR('Daily Check-In'!A98="",'Daily Check-In'!C98=""),"",'Daily Check-In'!C98)</f>
        <v/>
      </c>
      <c r="L98" t="str">
        <f>IF(OR('Daily Check-In'!A98="",'Daily Check-In'!D98=""),"",'Daily Check-In'!D98)</f>
        <v/>
      </c>
      <c r="M98" t="str">
        <f>IF(OR('Daily Check-In'!A98="",'Daily Check-In'!E98=""),"",'Daily Check-In'!E98)</f>
        <v/>
      </c>
    </row>
    <row r="99" spans="10:13">
      <c r="J99" s="8" t="str">
        <f>IF('Daily Check-In'!A99="","",'Daily Check-In'!A99)</f>
        <v/>
      </c>
      <c r="K99" t="str">
        <f>IF(OR('Daily Check-In'!A99="",'Daily Check-In'!C99=""),"",'Daily Check-In'!C99)</f>
        <v/>
      </c>
      <c r="L99" t="str">
        <f>IF(OR('Daily Check-In'!A99="",'Daily Check-In'!D99=""),"",'Daily Check-In'!D99)</f>
        <v/>
      </c>
      <c r="M99" t="str">
        <f>IF(OR('Daily Check-In'!A99="",'Daily Check-In'!E99=""),"",'Daily Check-In'!E99)</f>
        <v/>
      </c>
    </row>
    <row r="100" spans="10:13">
      <c r="J100" s="8" t="str">
        <f>IF('Daily Check-In'!A100="","",'Daily Check-In'!A100)</f>
        <v/>
      </c>
      <c r="K100" t="str">
        <f>IF(OR('Daily Check-In'!A100="",'Daily Check-In'!C100=""),"",'Daily Check-In'!C100)</f>
        <v/>
      </c>
      <c r="L100" t="str">
        <f>IF(OR('Daily Check-In'!A100="",'Daily Check-In'!D100=""),"",'Daily Check-In'!D100)</f>
        <v/>
      </c>
      <c r="M100" t="str">
        <f>IF(OR('Daily Check-In'!A100="",'Daily Check-In'!E100=""),"",'Daily Check-In'!E100)</f>
        <v/>
      </c>
    </row>
    <row r="101" spans="10:13">
      <c r="J101" s="8" t="str">
        <f>IF('Daily Check-In'!A101="","",'Daily Check-In'!A101)</f>
        <v/>
      </c>
      <c r="K101" t="str">
        <f>IF(OR('Daily Check-In'!A101="",'Daily Check-In'!C101=""),"",'Daily Check-In'!C101)</f>
        <v/>
      </c>
      <c r="L101" t="str">
        <f>IF(OR('Daily Check-In'!A101="",'Daily Check-In'!D101=""),"",'Daily Check-In'!D101)</f>
        <v/>
      </c>
      <c r="M101" t="str">
        <f>IF(OR('Daily Check-In'!A101="",'Daily Check-In'!E101=""),"",'Daily Check-In'!E101)</f>
        <v/>
      </c>
    </row>
    <row r="102" spans="10:13">
      <c r="J102" s="8" t="str">
        <f>IF('Daily Check-In'!A102="","",'Daily Check-In'!A102)</f>
        <v/>
      </c>
      <c r="K102" t="str">
        <f>IF(OR('Daily Check-In'!A102="",'Daily Check-In'!C102=""),"",'Daily Check-In'!C102)</f>
        <v/>
      </c>
      <c r="L102" t="str">
        <f>IF(OR('Daily Check-In'!A102="",'Daily Check-In'!D102=""),"",'Daily Check-In'!D102)</f>
        <v/>
      </c>
      <c r="M102" t="str">
        <f>IF(OR('Daily Check-In'!A102="",'Daily Check-In'!E102=""),"",'Daily Check-In'!E102)</f>
        <v/>
      </c>
    </row>
    <row r="103" spans="10:13">
      <c r="J103" s="8" t="str">
        <f>IF('Daily Check-In'!A103="","",'Daily Check-In'!A103)</f>
        <v/>
      </c>
      <c r="K103" t="str">
        <f>IF(OR('Daily Check-In'!A103="",'Daily Check-In'!C103=""),"",'Daily Check-In'!C103)</f>
        <v/>
      </c>
      <c r="L103" t="str">
        <f>IF(OR('Daily Check-In'!A103="",'Daily Check-In'!D103=""),"",'Daily Check-In'!D103)</f>
        <v/>
      </c>
      <c r="M103" t="str">
        <f>IF(OR('Daily Check-In'!A103="",'Daily Check-In'!E103=""),"",'Daily Check-In'!E103)</f>
        <v/>
      </c>
    </row>
    <row r="104" spans="10:13">
      <c r="J104" s="8" t="str">
        <f>IF('Daily Check-In'!A104="","",'Daily Check-In'!A104)</f>
        <v/>
      </c>
      <c r="K104" t="str">
        <f>IF(OR('Daily Check-In'!A104="",'Daily Check-In'!C104=""),"",'Daily Check-In'!C104)</f>
        <v/>
      </c>
      <c r="L104" t="str">
        <f>IF(OR('Daily Check-In'!A104="",'Daily Check-In'!D104=""),"",'Daily Check-In'!D104)</f>
        <v/>
      </c>
      <c r="M104" t="str">
        <f>IF(OR('Daily Check-In'!A104="",'Daily Check-In'!E104=""),"",'Daily Check-In'!E104)</f>
        <v/>
      </c>
    </row>
    <row r="105" spans="10:13">
      <c r="J105" s="8" t="str">
        <f>IF('Daily Check-In'!A105="","",'Daily Check-In'!A105)</f>
        <v/>
      </c>
      <c r="K105" t="str">
        <f>IF(OR('Daily Check-In'!A105="",'Daily Check-In'!C105=""),"",'Daily Check-In'!C105)</f>
        <v/>
      </c>
      <c r="L105" t="str">
        <f>IF(OR('Daily Check-In'!A105="",'Daily Check-In'!D105=""),"",'Daily Check-In'!D105)</f>
        <v/>
      </c>
      <c r="M105" t="str">
        <f>IF(OR('Daily Check-In'!A105="",'Daily Check-In'!E105=""),"",'Daily Check-In'!E105)</f>
        <v/>
      </c>
    </row>
    <row r="106" spans="10:13">
      <c r="J106" s="8" t="str">
        <f>IF('Daily Check-In'!A106="","",'Daily Check-In'!A106)</f>
        <v/>
      </c>
      <c r="K106" t="str">
        <f>IF(OR('Daily Check-In'!A106="",'Daily Check-In'!C106=""),"",'Daily Check-In'!C106)</f>
        <v/>
      </c>
      <c r="L106" t="str">
        <f>IF(OR('Daily Check-In'!A106="",'Daily Check-In'!D106=""),"",'Daily Check-In'!D106)</f>
        <v/>
      </c>
      <c r="M106" t="str">
        <f>IF(OR('Daily Check-In'!A106="",'Daily Check-In'!E106=""),"",'Daily Check-In'!E106)</f>
        <v/>
      </c>
    </row>
    <row r="107" spans="10:13">
      <c r="J107" s="8" t="str">
        <f>IF('Daily Check-In'!A107="","",'Daily Check-In'!A107)</f>
        <v/>
      </c>
      <c r="K107" t="str">
        <f>IF(OR('Daily Check-In'!A107="",'Daily Check-In'!C107=""),"",'Daily Check-In'!C107)</f>
        <v/>
      </c>
      <c r="L107" t="str">
        <f>IF(OR('Daily Check-In'!A107="",'Daily Check-In'!D107=""),"",'Daily Check-In'!D107)</f>
        <v/>
      </c>
      <c r="M107" t="str">
        <f>IF(OR('Daily Check-In'!A107="",'Daily Check-In'!E107=""),"",'Daily Check-In'!E107)</f>
        <v/>
      </c>
    </row>
    <row r="108" spans="10:13">
      <c r="J108" s="8" t="str">
        <f>IF('Daily Check-In'!A108="","",'Daily Check-In'!A108)</f>
        <v/>
      </c>
      <c r="K108" t="str">
        <f>IF(OR('Daily Check-In'!A108="",'Daily Check-In'!C108=""),"",'Daily Check-In'!C108)</f>
        <v/>
      </c>
      <c r="L108" t="str">
        <f>IF(OR('Daily Check-In'!A108="",'Daily Check-In'!D108=""),"",'Daily Check-In'!D108)</f>
        <v/>
      </c>
      <c r="M108" t="str">
        <f>IF(OR('Daily Check-In'!A108="",'Daily Check-In'!E108=""),"",'Daily Check-In'!E108)</f>
        <v/>
      </c>
    </row>
    <row r="109" spans="10:13">
      <c r="J109" s="8" t="str">
        <f>IF('Daily Check-In'!A109="","",'Daily Check-In'!A109)</f>
        <v/>
      </c>
      <c r="K109" t="str">
        <f>IF(OR('Daily Check-In'!A109="",'Daily Check-In'!C109=""),"",'Daily Check-In'!C109)</f>
        <v/>
      </c>
      <c r="L109" t="str">
        <f>IF(OR('Daily Check-In'!A109="",'Daily Check-In'!D109=""),"",'Daily Check-In'!D109)</f>
        <v/>
      </c>
      <c r="M109" t="str">
        <f>IF(OR('Daily Check-In'!A109="",'Daily Check-In'!E109=""),"",'Daily Check-In'!E109)</f>
        <v/>
      </c>
    </row>
    <row r="110" spans="10:13">
      <c r="J110" s="8" t="str">
        <f>IF('Daily Check-In'!A110="","",'Daily Check-In'!A110)</f>
        <v/>
      </c>
      <c r="K110" t="str">
        <f>IF(OR('Daily Check-In'!A110="",'Daily Check-In'!C110=""),"",'Daily Check-In'!C110)</f>
        <v/>
      </c>
      <c r="L110" t="str">
        <f>IF(OR('Daily Check-In'!A110="",'Daily Check-In'!D110=""),"",'Daily Check-In'!D110)</f>
        <v/>
      </c>
      <c r="M110" t="str">
        <f>IF(OR('Daily Check-In'!A110="",'Daily Check-In'!E110=""),"",'Daily Check-In'!E110)</f>
        <v/>
      </c>
    </row>
    <row r="111" spans="10:13">
      <c r="J111" s="8" t="str">
        <f>IF('Daily Check-In'!A111="","",'Daily Check-In'!A111)</f>
        <v/>
      </c>
      <c r="K111" t="str">
        <f>IF(OR('Daily Check-In'!A111="",'Daily Check-In'!C111=""),"",'Daily Check-In'!C111)</f>
        <v/>
      </c>
      <c r="L111" t="str">
        <f>IF(OR('Daily Check-In'!A111="",'Daily Check-In'!D111=""),"",'Daily Check-In'!D111)</f>
        <v/>
      </c>
      <c r="M111" t="str">
        <f>IF(OR('Daily Check-In'!A111="",'Daily Check-In'!E111=""),"",'Daily Check-In'!E111)</f>
        <v/>
      </c>
    </row>
    <row r="112" spans="10:13">
      <c r="J112" s="8" t="str">
        <f>IF('Daily Check-In'!A112="","",'Daily Check-In'!A112)</f>
        <v/>
      </c>
      <c r="K112" t="str">
        <f>IF(OR('Daily Check-In'!A112="",'Daily Check-In'!C112=""),"",'Daily Check-In'!C112)</f>
        <v/>
      </c>
      <c r="L112" t="str">
        <f>IF(OR('Daily Check-In'!A112="",'Daily Check-In'!D112=""),"",'Daily Check-In'!D112)</f>
        <v/>
      </c>
      <c r="M112" t="str">
        <f>IF(OR('Daily Check-In'!A112="",'Daily Check-In'!E112=""),"",'Daily Check-In'!E112)</f>
        <v/>
      </c>
    </row>
    <row r="113" spans="10:13">
      <c r="J113" s="8" t="str">
        <f>IF('Daily Check-In'!A113="","",'Daily Check-In'!A113)</f>
        <v/>
      </c>
      <c r="K113" t="str">
        <f>IF(OR('Daily Check-In'!A113="",'Daily Check-In'!C113=""),"",'Daily Check-In'!C113)</f>
        <v/>
      </c>
      <c r="L113" t="str">
        <f>IF(OR('Daily Check-In'!A113="",'Daily Check-In'!D113=""),"",'Daily Check-In'!D113)</f>
        <v/>
      </c>
      <c r="M113" t="str">
        <f>IF(OR('Daily Check-In'!A113="",'Daily Check-In'!E113=""),"",'Daily Check-In'!E113)</f>
        <v/>
      </c>
    </row>
    <row r="114" spans="10:13">
      <c r="J114" s="8" t="str">
        <f>IF('Daily Check-In'!A114="","",'Daily Check-In'!A114)</f>
        <v/>
      </c>
      <c r="K114" t="str">
        <f>IF(OR('Daily Check-In'!A114="",'Daily Check-In'!C114=""),"",'Daily Check-In'!C114)</f>
        <v/>
      </c>
      <c r="L114" t="str">
        <f>IF(OR('Daily Check-In'!A114="",'Daily Check-In'!D114=""),"",'Daily Check-In'!D114)</f>
        <v/>
      </c>
      <c r="M114" t="str">
        <f>IF(OR('Daily Check-In'!A114="",'Daily Check-In'!E114=""),"",'Daily Check-In'!E114)</f>
        <v/>
      </c>
    </row>
    <row r="115" spans="10:13">
      <c r="J115" s="8" t="str">
        <f>IF('Daily Check-In'!A115="","",'Daily Check-In'!A115)</f>
        <v/>
      </c>
      <c r="K115" t="str">
        <f>IF(OR('Daily Check-In'!A115="",'Daily Check-In'!C115=""),"",'Daily Check-In'!C115)</f>
        <v/>
      </c>
      <c r="L115" t="str">
        <f>IF(OR('Daily Check-In'!A115="",'Daily Check-In'!D115=""),"",'Daily Check-In'!D115)</f>
        <v/>
      </c>
      <c r="M115" t="str">
        <f>IF(OR('Daily Check-In'!A115="",'Daily Check-In'!E115=""),"",'Daily Check-In'!E115)</f>
        <v/>
      </c>
    </row>
    <row r="116" spans="10:13">
      <c r="J116" s="8" t="str">
        <f>IF('Daily Check-In'!A116="","",'Daily Check-In'!A116)</f>
        <v/>
      </c>
      <c r="K116" t="str">
        <f>IF(OR('Daily Check-In'!A116="",'Daily Check-In'!C116=""),"",'Daily Check-In'!C116)</f>
        <v/>
      </c>
      <c r="L116" t="str">
        <f>IF(OR('Daily Check-In'!A116="",'Daily Check-In'!D116=""),"",'Daily Check-In'!D116)</f>
        <v/>
      </c>
      <c r="M116" t="str">
        <f>IF(OR('Daily Check-In'!A116="",'Daily Check-In'!E116=""),"",'Daily Check-In'!E116)</f>
        <v/>
      </c>
    </row>
    <row r="117" spans="10:13">
      <c r="J117" s="8" t="str">
        <f>IF('Daily Check-In'!A117="","",'Daily Check-In'!A117)</f>
        <v/>
      </c>
      <c r="K117" t="str">
        <f>IF(OR('Daily Check-In'!A117="",'Daily Check-In'!C117=""),"",'Daily Check-In'!C117)</f>
        <v/>
      </c>
      <c r="L117" t="str">
        <f>IF(OR('Daily Check-In'!A117="",'Daily Check-In'!D117=""),"",'Daily Check-In'!D117)</f>
        <v/>
      </c>
      <c r="M117" t="str">
        <f>IF(OR('Daily Check-In'!A117="",'Daily Check-In'!E117=""),"",'Daily Check-In'!E117)</f>
        <v/>
      </c>
    </row>
    <row r="118" spans="10:13">
      <c r="J118" s="8" t="str">
        <f>IF('Daily Check-In'!A118="","",'Daily Check-In'!A118)</f>
        <v/>
      </c>
      <c r="K118" t="str">
        <f>IF(OR('Daily Check-In'!A118="",'Daily Check-In'!C118=""),"",'Daily Check-In'!C118)</f>
        <v/>
      </c>
      <c r="L118" t="str">
        <f>IF(OR('Daily Check-In'!A118="",'Daily Check-In'!D118=""),"",'Daily Check-In'!D118)</f>
        <v/>
      </c>
      <c r="M118" t="str">
        <f>IF(OR('Daily Check-In'!A118="",'Daily Check-In'!E118=""),"",'Daily Check-In'!E118)</f>
        <v/>
      </c>
    </row>
    <row r="119" spans="10:13">
      <c r="J119" s="8" t="str">
        <f>IF('Daily Check-In'!A119="","",'Daily Check-In'!A119)</f>
        <v/>
      </c>
      <c r="K119" t="str">
        <f>IF(OR('Daily Check-In'!A119="",'Daily Check-In'!C119=""),"",'Daily Check-In'!C119)</f>
        <v/>
      </c>
      <c r="L119" t="str">
        <f>IF(OR('Daily Check-In'!A119="",'Daily Check-In'!D119=""),"",'Daily Check-In'!D119)</f>
        <v/>
      </c>
      <c r="M119" t="str">
        <f>IF(OR('Daily Check-In'!A119="",'Daily Check-In'!E119=""),"",'Daily Check-In'!E119)</f>
        <v/>
      </c>
    </row>
    <row r="120" spans="10:13">
      <c r="J120" s="8" t="str">
        <f>IF('Daily Check-In'!A120="","",'Daily Check-In'!A120)</f>
        <v/>
      </c>
      <c r="K120" t="str">
        <f>IF(OR('Daily Check-In'!A120="",'Daily Check-In'!C120=""),"",'Daily Check-In'!C120)</f>
        <v/>
      </c>
      <c r="L120" t="str">
        <f>IF(OR('Daily Check-In'!A120="",'Daily Check-In'!D120=""),"",'Daily Check-In'!D120)</f>
        <v/>
      </c>
      <c r="M120" t="str">
        <f>IF(OR('Daily Check-In'!A120="",'Daily Check-In'!E120=""),"",'Daily Check-In'!E120)</f>
        <v/>
      </c>
    </row>
    <row r="121" spans="10:13">
      <c r="J121" s="8" t="str">
        <f>IF('Daily Check-In'!A121="","",'Daily Check-In'!A121)</f>
        <v/>
      </c>
      <c r="K121" t="str">
        <f>IF(OR('Daily Check-In'!A121="",'Daily Check-In'!C121=""),"",'Daily Check-In'!C121)</f>
        <v/>
      </c>
      <c r="L121" t="str">
        <f>IF(OR('Daily Check-In'!A121="",'Daily Check-In'!D121=""),"",'Daily Check-In'!D121)</f>
        <v/>
      </c>
      <c r="M121" t="str">
        <f>IF(OR('Daily Check-In'!A121="",'Daily Check-In'!E121=""),"",'Daily Check-In'!E121)</f>
        <v/>
      </c>
    </row>
    <row r="122" spans="10:13">
      <c r="J122" s="8" t="str">
        <f>IF('Daily Check-In'!A122="","",'Daily Check-In'!A122)</f>
        <v/>
      </c>
      <c r="K122" t="str">
        <f>IF(OR('Daily Check-In'!A122="",'Daily Check-In'!C122=""),"",'Daily Check-In'!C122)</f>
        <v/>
      </c>
      <c r="L122" t="str">
        <f>IF(OR('Daily Check-In'!A122="",'Daily Check-In'!D122=""),"",'Daily Check-In'!D122)</f>
        <v/>
      </c>
      <c r="M122" t="str">
        <f>IF(OR('Daily Check-In'!A122="",'Daily Check-In'!E122=""),"",'Daily Check-In'!E122)</f>
        <v/>
      </c>
    </row>
    <row r="123" spans="10:13">
      <c r="J123" s="8" t="str">
        <f>IF('Daily Check-In'!A123="","",'Daily Check-In'!A123)</f>
        <v/>
      </c>
      <c r="K123" t="str">
        <f>IF(OR('Daily Check-In'!A123="",'Daily Check-In'!C123=""),"",'Daily Check-In'!C123)</f>
        <v/>
      </c>
      <c r="L123" t="str">
        <f>IF(OR('Daily Check-In'!A123="",'Daily Check-In'!D123=""),"",'Daily Check-In'!D123)</f>
        <v/>
      </c>
      <c r="M123" t="str">
        <f>IF(OR('Daily Check-In'!A123="",'Daily Check-In'!E123=""),"",'Daily Check-In'!E123)</f>
        <v/>
      </c>
    </row>
    <row r="124" spans="10:13">
      <c r="J124" s="8" t="str">
        <f>IF('Daily Check-In'!A124="","",'Daily Check-In'!A124)</f>
        <v/>
      </c>
      <c r="K124" t="str">
        <f>IF(OR('Daily Check-In'!A124="",'Daily Check-In'!C124=""),"",'Daily Check-In'!C124)</f>
        <v/>
      </c>
      <c r="L124" t="str">
        <f>IF(OR('Daily Check-In'!A124="",'Daily Check-In'!D124=""),"",'Daily Check-In'!D124)</f>
        <v/>
      </c>
      <c r="M124" t="str">
        <f>IF(OR('Daily Check-In'!A124="",'Daily Check-In'!E124=""),"",'Daily Check-In'!E124)</f>
        <v/>
      </c>
    </row>
    <row r="125" spans="10:13">
      <c r="J125" s="8" t="str">
        <f>IF('Daily Check-In'!A125="","",'Daily Check-In'!A125)</f>
        <v/>
      </c>
      <c r="K125" t="str">
        <f>IF(OR('Daily Check-In'!A125="",'Daily Check-In'!C125=""),"",'Daily Check-In'!C125)</f>
        <v/>
      </c>
      <c r="L125" t="str">
        <f>IF(OR('Daily Check-In'!A125="",'Daily Check-In'!D125=""),"",'Daily Check-In'!D125)</f>
        <v/>
      </c>
      <c r="M125" t="str">
        <f>IF(OR('Daily Check-In'!A125="",'Daily Check-In'!E125=""),"",'Daily Check-In'!E125)</f>
        <v/>
      </c>
    </row>
    <row r="126" spans="10:13">
      <c r="J126" s="8" t="str">
        <f>IF('Daily Check-In'!A126="","",'Daily Check-In'!A126)</f>
        <v/>
      </c>
      <c r="K126" t="str">
        <f>IF(OR('Daily Check-In'!A126="",'Daily Check-In'!C126=""),"",'Daily Check-In'!C126)</f>
        <v/>
      </c>
      <c r="L126" t="str">
        <f>IF(OR('Daily Check-In'!A126="",'Daily Check-In'!D126=""),"",'Daily Check-In'!D126)</f>
        <v/>
      </c>
      <c r="M126" t="str">
        <f>IF(OR('Daily Check-In'!A126="",'Daily Check-In'!E126=""),"",'Daily Check-In'!E126)</f>
        <v/>
      </c>
    </row>
    <row r="127" spans="10:13">
      <c r="J127" s="8" t="str">
        <f>IF('Daily Check-In'!A127="","",'Daily Check-In'!A127)</f>
        <v/>
      </c>
      <c r="K127" t="str">
        <f>IF(OR('Daily Check-In'!A127="",'Daily Check-In'!C127=""),"",'Daily Check-In'!C127)</f>
        <v/>
      </c>
      <c r="L127" t="str">
        <f>IF(OR('Daily Check-In'!A127="",'Daily Check-In'!D127=""),"",'Daily Check-In'!D127)</f>
        <v/>
      </c>
      <c r="M127" t="str">
        <f>IF(OR('Daily Check-In'!A127="",'Daily Check-In'!E127=""),"",'Daily Check-In'!E127)</f>
        <v/>
      </c>
    </row>
    <row r="128" spans="10:13">
      <c r="J128" s="8" t="str">
        <f>IF('Daily Check-In'!A128="","",'Daily Check-In'!A128)</f>
        <v/>
      </c>
      <c r="K128" t="str">
        <f>IF(OR('Daily Check-In'!A128="",'Daily Check-In'!C128=""),"",'Daily Check-In'!C128)</f>
        <v/>
      </c>
      <c r="L128" t="str">
        <f>IF(OR('Daily Check-In'!A128="",'Daily Check-In'!D128=""),"",'Daily Check-In'!D128)</f>
        <v/>
      </c>
      <c r="M128" t="str">
        <f>IF(OR('Daily Check-In'!A128="",'Daily Check-In'!E128=""),"",'Daily Check-In'!E128)</f>
        <v/>
      </c>
    </row>
    <row r="129" spans="10:13">
      <c r="J129" s="8" t="str">
        <f>IF('Daily Check-In'!A129="","",'Daily Check-In'!A129)</f>
        <v/>
      </c>
      <c r="K129" t="str">
        <f>IF(OR('Daily Check-In'!A129="",'Daily Check-In'!C129=""),"",'Daily Check-In'!C129)</f>
        <v/>
      </c>
      <c r="L129" t="str">
        <f>IF(OR('Daily Check-In'!A129="",'Daily Check-In'!D129=""),"",'Daily Check-In'!D129)</f>
        <v/>
      </c>
      <c r="M129" t="str">
        <f>IF(OR('Daily Check-In'!A129="",'Daily Check-In'!E129=""),"",'Daily Check-In'!E129)</f>
        <v/>
      </c>
    </row>
    <row r="130" spans="10:13">
      <c r="J130" s="8" t="str">
        <f>IF('Daily Check-In'!A130="","",'Daily Check-In'!A130)</f>
        <v/>
      </c>
      <c r="K130" t="str">
        <f>IF(OR('Daily Check-In'!A130="",'Daily Check-In'!C130=""),"",'Daily Check-In'!C130)</f>
        <v/>
      </c>
      <c r="L130" t="str">
        <f>IF(OR('Daily Check-In'!A130="",'Daily Check-In'!D130=""),"",'Daily Check-In'!D130)</f>
        <v/>
      </c>
      <c r="M130" t="str">
        <f>IF(OR('Daily Check-In'!A130="",'Daily Check-In'!E130=""),"",'Daily Check-In'!E130)</f>
        <v/>
      </c>
    </row>
    <row r="131" spans="10:13">
      <c r="J131" s="8" t="str">
        <f>IF('Daily Check-In'!A131="","",'Daily Check-In'!A131)</f>
        <v/>
      </c>
      <c r="K131" t="str">
        <f>IF(OR('Daily Check-In'!A131="",'Daily Check-In'!C131=""),"",'Daily Check-In'!C131)</f>
        <v/>
      </c>
      <c r="L131" t="str">
        <f>IF(OR('Daily Check-In'!A131="",'Daily Check-In'!D131=""),"",'Daily Check-In'!D131)</f>
        <v/>
      </c>
      <c r="M131" t="str">
        <f>IF(OR('Daily Check-In'!A131="",'Daily Check-In'!E131=""),"",'Daily Check-In'!E131)</f>
        <v/>
      </c>
    </row>
    <row r="132" spans="10:13">
      <c r="J132" s="8" t="str">
        <f>IF('Daily Check-In'!A132="","",'Daily Check-In'!A132)</f>
        <v/>
      </c>
      <c r="K132" t="str">
        <f>IF(OR('Daily Check-In'!A132="",'Daily Check-In'!C132=""),"",'Daily Check-In'!C132)</f>
        <v/>
      </c>
      <c r="L132" t="str">
        <f>IF(OR('Daily Check-In'!A132="",'Daily Check-In'!D132=""),"",'Daily Check-In'!D132)</f>
        <v/>
      </c>
      <c r="M132" t="str">
        <f>IF(OR('Daily Check-In'!A132="",'Daily Check-In'!E132=""),"",'Daily Check-In'!E132)</f>
        <v/>
      </c>
    </row>
    <row r="133" spans="10:13">
      <c r="J133" s="8" t="str">
        <f>IF('Daily Check-In'!A133="","",'Daily Check-In'!A133)</f>
        <v/>
      </c>
      <c r="K133" t="str">
        <f>IF(OR('Daily Check-In'!A133="",'Daily Check-In'!C133=""),"",'Daily Check-In'!C133)</f>
        <v/>
      </c>
      <c r="L133" t="str">
        <f>IF(OR('Daily Check-In'!A133="",'Daily Check-In'!D133=""),"",'Daily Check-In'!D133)</f>
        <v/>
      </c>
      <c r="M133" t="str">
        <f>IF(OR('Daily Check-In'!A133="",'Daily Check-In'!E133=""),"",'Daily Check-In'!E133)</f>
        <v/>
      </c>
    </row>
    <row r="134" spans="10:13">
      <c r="J134" s="8" t="str">
        <f>IF('Daily Check-In'!A134="","",'Daily Check-In'!A134)</f>
        <v/>
      </c>
      <c r="K134" t="str">
        <f>IF(OR('Daily Check-In'!A134="",'Daily Check-In'!C134=""),"",'Daily Check-In'!C134)</f>
        <v/>
      </c>
      <c r="L134" t="str">
        <f>IF(OR('Daily Check-In'!A134="",'Daily Check-In'!D134=""),"",'Daily Check-In'!D134)</f>
        <v/>
      </c>
      <c r="M134" t="str">
        <f>IF(OR('Daily Check-In'!A134="",'Daily Check-In'!E134=""),"",'Daily Check-In'!E134)</f>
        <v/>
      </c>
    </row>
    <row r="135" spans="10:13">
      <c r="J135" s="8" t="str">
        <f>IF('Daily Check-In'!A135="","",'Daily Check-In'!A135)</f>
        <v/>
      </c>
      <c r="K135" t="str">
        <f>IF(OR('Daily Check-In'!A135="",'Daily Check-In'!C135=""),"",'Daily Check-In'!C135)</f>
        <v/>
      </c>
      <c r="L135" t="str">
        <f>IF(OR('Daily Check-In'!A135="",'Daily Check-In'!D135=""),"",'Daily Check-In'!D135)</f>
        <v/>
      </c>
      <c r="M135" t="str">
        <f>IF(OR('Daily Check-In'!A135="",'Daily Check-In'!E135=""),"",'Daily Check-In'!E135)</f>
        <v/>
      </c>
    </row>
    <row r="136" spans="10:13">
      <c r="J136" s="8" t="str">
        <f>IF('Daily Check-In'!A136="","",'Daily Check-In'!A136)</f>
        <v/>
      </c>
      <c r="K136" t="str">
        <f>IF(OR('Daily Check-In'!A136="",'Daily Check-In'!C136=""),"",'Daily Check-In'!C136)</f>
        <v/>
      </c>
      <c r="L136" t="str">
        <f>IF(OR('Daily Check-In'!A136="",'Daily Check-In'!D136=""),"",'Daily Check-In'!D136)</f>
        <v/>
      </c>
      <c r="M136" t="str">
        <f>IF(OR('Daily Check-In'!A136="",'Daily Check-In'!E136=""),"",'Daily Check-In'!E136)</f>
        <v/>
      </c>
    </row>
    <row r="137" spans="10:13">
      <c r="J137" s="8" t="str">
        <f>IF('Daily Check-In'!A137="","",'Daily Check-In'!A137)</f>
        <v/>
      </c>
      <c r="K137" t="str">
        <f>IF(OR('Daily Check-In'!A137="",'Daily Check-In'!C137=""),"",'Daily Check-In'!C137)</f>
        <v/>
      </c>
      <c r="L137" t="str">
        <f>IF(OR('Daily Check-In'!A137="",'Daily Check-In'!D137=""),"",'Daily Check-In'!D137)</f>
        <v/>
      </c>
      <c r="M137" t="str">
        <f>IF(OR('Daily Check-In'!A137="",'Daily Check-In'!E137=""),"",'Daily Check-In'!E137)</f>
        <v/>
      </c>
    </row>
    <row r="138" spans="10:13">
      <c r="J138" s="8" t="str">
        <f>IF('Daily Check-In'!A138="","",'Daily Check-In'!A138)</f>
        <v/>
      </c>
      <c r="K138" t="str">
        <f>IF(OR('Daily Check-In'!A138="",'Daily Check-In'!C138=""),"",'Daily Check-In'!C138)</f>
        <v/>
      </c>
      <c r="L138" t="str">
        <f>IF(OR('Daily Check-In'!A138="",'Daily Check-In'!D138=""),"",'Daily Check-In'!D138)</f>
        <v/>
      </c>
      <c r="M138" t="str">
        <f>IF(OR('Daily Check-In'!A138="",'Daily Check-In'!E138=""),"",'Daily Check-In'!E138)</f>
        <v/>
      </c>
    </row>
    <row r="139" spans="10:13">
      <c r="J139" s="8" t="str">
        <f>IF('Daily Check-In'!A139="","",'Daily Check-In'!A139)</f>
        <v/>
      </c>
      <c r="K139" t="str">
        <f>IF(OR('Daily Check-In'!A139="",'Daily Check-In'!C139=""),"",'Daily Check-In'!C139)</f>
        <v/>
      </c>
      <c r="L139" t="str">
        <f>IF(OR('Daily Check-In'!A139="",'Daily Check-In'!D139=""),"",'Daily Check-In'!D139)</f>
        <v/>
      </c>
      <c r="M139" t="str">
        <f>IF(OR('Daily Check-In'!A139="",'Daily Check-In'!E139=""),"",'Daily Check-In'!E139)</f>
        <v/>
      </c>
    </row>
    <row r="140" spans="10:13">
      <c r="J140" s="8" t="str">
        <f>IF('Daily Check-In'!A140="","",'Daily Check-In'!A140)</f>
        <v/>
      </c>
      <c r="K140" t="str">
        <f>IF(OR('Daily Check-In'!A140="",'Daily Check-In'!C140=""),"",'Daily Check-In'!C140)</f>
        <v/>
      </c>
      <c r="L140" t="str">
        <f>IF(OR('Daily Check-In'!A140="",'Daily Check-In'!D140=""),"",'Daily Check-In'!D140)</f>
        <v/>
      </c>
      <c r="M140" t="str">
        <f>IF(OR('Daily Check-In'!A140="",'Daily Check-In'!E140=""),"",'Daily Check-In'!E140)</f>
        <v/>
      </c>
    </row>
    <row r="141" spans="10:13">
      <c r="J141" s="8" t="str">
        <f>IF('Daily Check-In'!A141="","",'Daily Check-In'!A141)</f>
        <v/>
      </c>
      <c r="K141" t="str">
        <f>IF(OR('Daily Check-In'!A141="",'Daily Check-In'!C141=""),"",'Daily Check-In'!C141)</f>
        <v/>
      </c>
      <c r="L141" t="str">
        <f>IF(OR('Daily Check-In'!A141="",'Daily Check-In'!D141=""),"",'Daily Check-In'!D141)</f>
        <v/>
      </c>
      <c r="M141" t="str">
        <f>IF(OR('Daily Check-In'!A141="",'Daily Check-In'!E141=""),"",'Daily Check-In'!E141)</f>
        <v/>
      </c>
    </row>
    <row r="142" spans="10:13">
      <c r="J142" s="8" t="str">
        <f>IF('Daily Check-In'!A142="","",'Daily Check-In'!A142)</f>
        <v/>
      </c>
      <c r="K142" t="str">
        <f>IF(OR('Daily Check-In'!A142="",'Daily Check-In'!C142=""),"",'Daily Check-In'!C142)</f>
        <v/>
      </c>
      <c r="L142" t="str">
        <f>IF(OR('Daily Check-In'!A142="",'Daily Check-In'!D142=""),"",'Daily Check-In'!D142)</f>
        <v/>
      </c>
      <c r="M142" t="str">
        <f>IF(OR('Daily Check-In'!A142="",'Daily Check-In'!E142=""),"",'Daily Check-In'!E142)</f>
        <v/>
      </c>
    </row>
    <row r="143" spans="10:13">
      <c r="J143" s="8" t="str">
        <f>IF('Daily Check-In'!A143="","",'Daily Check-In'!A143)</f>
        <v/>
      </c>
      <c r="K143" t="str">
        <f>IF(OR('Daily Check-In'!A143="",'Daily Check-In'!C143=""),"",'Daily Check-In'!C143)</f>
        <v/>
      </c>
      <c r="L143" t="str">
        <f>IF(OR('Daily Check-In'!A143="",'Daily Check-In'!D143=""),"",'Daily Check-In'!D143)</f>
        <v/>
      </c>
      <c r="M143" t="str">
        <f>IF(OR('Daily Check-In'!A143="",'Daily Check-In'!E143=""),"",'Daily Check-In'!E143)</f>
        <v/>
      </c>
    </row>
    <row r="144" spans="10:13">
      <c r="J144" s="8" t="str">
        <f>IF('Daily Check-In'!A144="","",'Daily Check-In'!A144)</f>
        <v/>
      </c>
      <c r="K144" t="str">
        <f>IF(OR('Daily Check-In'!A144="",'Daily Check-In'!C144=""),"",'Daily Check-In'!C144)</f>
        <v/>
      </c>
      <c r="L144" t="str">
        <f>IF(OR('Daily Check-In'!A144="",'Daily Check-In'!D144=""),"",'Daily Check-In'!D144)</f>
        <v/>
      </c>
      <c r="M144" t="str">
        <f>IF(OR('Daily Check-In'!A144="",'Daily Check-In'!E144=""),"",'Daily Check-In'!E144)</f>
        <v/>
      </c>
    </row>
    <row r="145" spans="10:13">
      <c r="J145" s="8" t="str">
        <f>IF('Daily Check-In'!A145="","",'Daily Check-In'!A145)</f>
        <v/>
      </c>
      <c r="K145" t="str">
        <f>IF(OR('Daily Check-In'!A145="",'Daily Check-In'!C145=""),"",'Daily Check-In'!C145)</f>
        <v/>
      </c>
      <c r="L145" t="str">
        <f>IF(OR('Daily Check-In'!A145="",'Daily Check-In'!D145=""),"",'Daily Check-In'!D145)</f>
        <v/>
      </c>
      <c r="M145" t="str">
        <f>IF(OR('Daily Check-In'!A145="",'Daily Check-In'!E145=""),"",'Daily Check-In'!E145)</f>
        <v/>
      </c>
    </row>
    <row r="146" spans="10:13">
      <c r="J146" s="8" t="str">
        <f>IF('Daily Check-In'!A146="","",'Daily Check-In'!A146)</f>
        <v/>
      </c>
      <c r="K146" t="str">
        <f>IF(OR('Daily Check-In'!A146="",'Daily Check-In'!C146=""),"",'Daily Check-In'!C146)</f>
        <v/>
      </c>
      <c r="L146" t="str">
        <f>IF(OR('Daily Check-In'!A146="",'Daily Check-In'!D146=""),"",'Daily Check-In'!D146)</f>
        <v/>
      </c>
      <c r="M146" t="str">
        <f>IF(OR('Daily Check-In'!A146="",'Daily Check-In'!E146=""),"",'Daily Check-In'!E146)</f>
        <v/>
      </c>
    </row>
    <row r="147" spans="10:13">
      <c r="J147" s="8" t="str">
        <f>IF('Daily Check-In'!A147="","",'Daily Check-In'!A147)</f>
        <v/>
      </c>
      <c r="K147" t="str">
        <f>IF(OR('Daily Check-In'!A147="",'Daily Check-In'!C147=""),"",'Daily Check-In'!C147)</f>
        <v/>
      </c>
      <c r="L147" t="str">
        <f>IF(OR('Daily Check-In'!A147="",'Daily Check-In'!D147=""),"",'Daily Check-In'!D147)</f>
        <v/>
      </c>
      <c r="M147" t="str">
        <f>IF(OR('Daily Check-In'!A147="",'Daily Check-In'!E147=""),"",'Daily Check-In'!E147)</f>
        <v/>
      </c>
    </row>
    <row r="148" spans="10:13">
      <c r="J148" s="8" t="str">
        <f>IF('Daily Check-In'!A148="","",'Daily Check-In'!A148)</f>
        <v/>
      </c>
      <c r="K148" t="str">
        <f>IF(OR('Daily Check-In'!A148="",'Daily Check-In'!C148=""),"",'Daily Check-In'!C148)</f>
        <v/>
      </c>
      <c r="L148" t="str">
        <f>IF(OR('Daily Check-In'!A148="",'Daily Check-In'!D148=""),"",'Daily Check-In'!D148)</f>
        <v/>
      </c>
      <c r="M148" t="str">
        <f>IF(OR('Daily Check-In'!A148="",'Daily Check-In'!E148=""),"",'Daily Check-In'!E148)</f>
        <v/>
      </c>
    </row>
    <row r="149" spans="10:13">
      <c r="J149" s="8" t="str">
        <f>IF('Daily Check-In'!A149="","",'Daily Check-In'!A149)</f>
        <v/>
      </c>
      <c r="K149" t="str">
        <f>IF(OR('Daily Check-In'!A149="",'Daily Check-In'!C149=""),"",'Daily Check-In'!C149)</f>
        <v/>
      </c>
      <c r="L149" t="str">
        <f>IF(OR('Daily Check-In'!A149="",'Daily Check-In'!D149=""),"",'Daily Check-In'!D149)</f>
        <v/>
      </c>
      <c r="M149" t="str">
        <f>IF(OR('Daily Check-In'!A149="",'Daily Check-In'!E149=""),"",'Daily Check-In'!E149)</f>
        <v/>
      </c>
    </row>
    <row r="150" spans="10:13">
      <c r="J150" s="8" t="str">
        <f>IF('Daily Check-In'!A150="","",'Daily Check-In'!A150)</f>
        <v/>
      </c>
      <c r="K150" t="str">
        <f>IF(OR('Daily Check-In'!A150="",'Daily Check-In'!C150=""),"",'Daily Check-In'!C150)</f>
        <v/>
      </c>
      <c r="L150" t="str">
        <f>IF(OR('Daily Check-In'!A150="",'Daily Check-In'!D150=""),"",'Daily Check-In'!D150)</f>
        <v/>
      </c>
      <c r="M150" t="str">
        <f>IF(OR('Daily Check-In'!A150="",'Daily Check-In'!E150=""),"",'Daily Check-In'!E150)</f>
        <v/>
      </c>
    </row>
    <row r="151" spans="10:13">
      <c r="J151" s="8" t="str">
        <f>IF('Daily Check-In'!A151="","",'Daily Check-In'!A151)</f>
        <v/>
      </c>
      <c r="K151" t="str">
        <f>IF(OR('Daily Check-In'!A151="",'Daily Check-In'!C151=""),"",'Daily Check-In'!C151)</f>
        <v/>
      </c>
      <c r="L151" t="str">
        <f>IF(OR('Daily Check-In'!A151="",'Daily Check-In'!D151=""),"",'Daily Check-In'!D151)</f>
        <v/>
      </c>
      <c r="M151" t="str">
        <f>IF(OR('Daily Check-In'!A151="",'Daily Check-In'!E151=""),"",'Daily Check-In'!E151)</f>
        <v/>
      </c>
    </row>
    <row r="152" spans="10:13">
      <c r="J152" s="8" t="str">
        <f>IF('Daily Check-In'!A152="","",'Daily Check-In'!A152)</f>
        <v/>
      </c>
      <c r="K152" t="str">
        <f>IF(OR('Daily Check-In'!A152="",'Daily Check-In'!C152=""),"",'Daily Check-In'!C152)</f>
        <v/>
      </c>
      <c r="L152" t="str">
        <f>IF(OR('Daily Check-In'!A152="",'Daily Check-In'!D152=""),"",'Daily Check-In'!D152)</f>
        <v/>
      </c>
      <c r="M152" t="str">
        <f>IF(OR('Daily Check-In'!A152="",'Daily Check-In'!E152=""),"",'Daily Check-In'!E152)</f>
        <v/>
      </c>
    </row>
    <row r="153" spans="10:13">
      <c r="J153" s="8" t="str">
        <f>IF('Daily Check-In'!A153="","",'Daily Check-In'!A153)</f>
        <v/>
      </c>
      <c r="K153" t="str">
        <f>IF(OR('Daily Check-In'!A153="",'Daily Check-In'!C153=""),"",'Daily Check-In'!C153)</f>
        <v/>
      </c>
      <c r="L153" t="str">
        <f>IF(OR('Daily Check-In'!A153="",'Daily Check-In'!D153=""),"",'Daily Check-In'!D153)</f>
        <v/>
      </c>
      <c r="M153" t="str">
        <f>IF(OR('Daily Check-In'!A153="",'Daily Check-In'!E153=""),"",'Daily Check-In'!E153)</f>
        <v/>
      </c>
    </row>
    <row r="154" spans="10:13">
      <c r="J154" s="8" t="str">
        <f>IF('Daily Check-In'!A154="","",'Daily Check-In'!A154)</f>
        <v/>
      </c>
      <c r="K154" t="str">
        <f>IF(OR('Daily Check-In'!A154="",'Daily Check-In'!C154=""),"",'Daily Check-In'!C154)</f>
        <v/>
      </c>
      <c r="L154" t="str">
        <f>IF(OR('Daily Check-In'!A154="",'Daily Check-In'!D154=""),"",'Daily Check-In'!D154)</f>
        <v/>
      </c>
      <c r="M154" t="str">
        <f>IF(OR('Daily Check-In'!A154="",'Daily Check-In'!E154=""),"",'Daily Check-In'!E154)</f>
        <v/>
      </c>
    </row>
    <row r="155" spans="10:13">
      <c r="J155" s="8" t="str">
        <f>IF('Daily Check-In'!A155="","",'Daily Check-In'!A155)</f>
        <v/>
      </c>
      <c r="K155" t="str">
        <f>IF(OR('Daily Check-In'!A155="",'Daily Check-In'!C155=""),"",'Daily Check-In'!C155)</f>
        <v/>
      </c>
      <c r="L155" t="str">
        <f>IF(OR('Daily Check-In'!A155="",'Daily Check-In'!D155=""),"",'Daily Check-In'!D155)</f>
        <v/>
      </c>
      <c r="M155" t="str">
        <f>IF(OR('Daily Check-In'!A155="",'Daily Check-In'!E155=""),"",'Daily Check-In'!E155)</f>
        <v/>
      </c>
    </row>
    <row r="156" spans="10:13">
      <c r="J156" s="8" t="str">
        <f>IF('Daily Check-In'!A156="","",'Daily Check-In'!A156)</f>
        <v/>
      </c>
      <c r="K156" t="str">
        <f>IF(OR('Daily Check-In'!A156="",'Daily Check-In'!C156=""),"",'Daily Check-In'!C156)</f>
        <v/>
      </c>
      <c r="L156" t="str">
        <f>IF(OR('Daily Check-In'!A156="",'Daily Check-In'!D156=""),"",'Daily Check-In'!D156)</f>
        <v/>
      </c>
      <c r="M156" t="str">
        <f>IF(OR('Daily Check-In'!A156="",'Daily Check-In'!E156=""),"",'Daily Check-In'!E156)</f>
        <v/>
      </c>
    </row>
    <row r="157" spans="10:13">
      <c r="J157" s="8" t="str">
        <f>IF('Daily Check-In'!A157="","",'Daily Check-In'!A157)</f>
        <v/>
      </c>
      <c r="K157" t="str">
        <f>IF(OR('Daily Check-In'!A157="",'Daily Check-In'!C157=""),"",'Daily Check-In'!C157)</f>
        <v/>
      </c>
      <c r="L157" t="str">
        <f>IF(OR('Daily Check-In'!A157="",'Daily Check-In'!D157=""),"",'Daily Check-In'!D157)</f>
        <v/>
      </c>
      <c r="M157" t="str">
        <f>IF(OR('Daily Check-In'!A157="",'Daily Check-In'!E157=""),"",'Daily Check-In'!E157)</f>
        <v/>
      </c>
    </row>
    <row r="158" spans="10:13">
      <c r="J158" s="8" t="str">
        <f>IF('Daily Check-In'!A158="","",'Daily Check-In'!A158)</f>
        <v/>
      </c>
      <c r="K158" t="str">
        <f>IF(OR('Daily Check-In'!A158="",'Daily Check-In'!C158=""),"",'Daily Check-In'!C158)</f>
        <v/>
      </c>
      <c r="L158" t="str">
        <f>IF(OR('Daily Check-In'!A158="",'Daily Check-In'!D158=""),"",'Daily Check-In'!D158)</f>
        <v/>
      </c>
      <c r="M158" t="str">
        <f>IF(OR('Daily Check-In'!A158="",'Daily Check-In'!E158=""),"",'Daily Check-In'!E158)</f>
        <v/>
      </c>
    </row>
    <row r="159" spans="10:13">
      <c r="J159" s="8" t="str">
        <f>IF('Daily Check-In'!A159="","",'Daily Check-In'!A159)</f>
        <v/>
      </c>
      <c r="K159" t="str">
        <f>IF(OR('Daily Check-In'!A159="",'Daily Check-In'!C159=""),"",'Daily Check-In'!C159)</f>
        <v/>
      </c>
      <c r="L159" t="str">
        <f>IF(OR('Daily Check-In'!A159="",'Daily Check-In'!D159=""),"",'Daily Check-In'!D159)</f>
        <v/>
      </c>
      <c r="M159" t="str">
        <f>IF(OR('Daily Check-In'!A159="",'Daily Check-In'!E159=""),"",'Daily Check-In'!E159)</f>
        <v/>
      </c>
    </row>
    <row r="160" spans="10:13">
      <c r="J160" s="8" t="str">
        <f>IF('Daily Check-In'!A160="","",'Daily Check-In'!A160)</f>
        <v/>
      </c>
      <c r="K160" t="str">
        <f>IF(OR('Daily Check-In'!A160="",'Daily Check-In'!C160=""),"",'Daily Check-In'!C160)</f>
        <v/>
      </c>
      <c r="L160" t="str">
        <f>IF(OR('Daily Check-In'!A160="",'Daily Check-In'!D160=""),"",'Daily Check-In'!D160)</f>
        <v/>
      </c>
      <c r="M160" t="str">
        <f>IF(OR('Daily Check-In'!A160="",'Daily Check-In'!E160=""),"",'Daily Check-In'!E160)</f>
        <v/>
      </c>
    </row>
    <row r="161" spans="10:13">
      <c r="J161" s="8" t="str">
        <f>IF('Daily Check-In'!A161="","",'Daily Check-In'!A161)</f>
        <v/>
      </c>
      <c r="K161" t="str">
        <f>IF(OR('Daily Check-In'!A161="",'Daily Check-In'!C161=""),"",'Daily Check-In'!C161)</f>
        <v/>
      </c>
      <c r="L161" t="str">
        <f>IF(OR('Daily Check-In'!A161="",'Daily Check-In'!D161=""),"",'Daily Check-In'!D161)</f>
        <v/>
      </c>
      <c r="M161" t="str">
        <f>IF(OR('Daily Check-In'!A161="",'Daily Check-In'!E161=""),"",'Daily Check-In'!E161)</f>
        <v/>
      </c>
    </row>
    <row r="162" spans="10:13">
      <c r="J162" s="8" t="str">
        <f>IF('Daily Check-In'!A162="","",'Daily Check-In'!A162)</f>
        <v/>
      </c>
      <c r="K162" t="str">
        <f>IF(OR('Daily Check-In'!A162="",'Daily Check-In'!C162=""),"",'Daily Check-In'!C162)</f>
        <v/>
      </c>
      <c r="L162" t="str">
        <f>IF(OR('Daily Check-In'!A162="",'Daily Check-In'!D162=""),"",'Daily Check-In'!D162)</f>
        <v/>
      </c>
      <c r="M162" t="str">
        <f>IF(OR('Daily Check-In'!A162="",'Daily Check-In'!E162=""),"",'Daily Check-In'!E162)</f>
        <v/>
      </c>
    </row>
    <row r="163" spans="10:13">
      <c r="J163" s="8" t="str">
        <f>IF('Daily Check-In'!A163="","",'Daily Check-In'!A163)</f>
        <v/>
      </c>
      <c r="K163" t="str">
        <f>IF(OR('Daily Check-In'!A163="",'Daily Check-In'!C163=""),"",'Daily Check-In'!C163)</f>
        <v/>
      </c>
      <c r="L163" t="str">
        <f>IF(OR('Daily Check-In'!A163="",'Daily Check-In'!D163=""),"",'Daily Check-In'!D163)</f>
        <v/>
      </c>
      <c r="M163" t="str">
        <f>IF(OR('Daily Check-In'!A163="",'Daily Check-In'!E163=""),"",'Daily Check-In'!E163)</f>
        <v/>
      </c>
    </row>
    <row r="164" spans="10:13">
      <c r="J164" s="8" t="str">
        <f>IF('Daily Check-In'!A164="","",'Daily Check-In'!A164)</f>
        <v/>
      </c>
      <c r="K164" t="str">
        <f>IF(OR('Daily Check-In'!A164="",'Daily Check-In'!C164=""),"",'Daily Check-In'!C164)</f>
        <v/>
      </c>
      <c r="L164" t="str">
        <f>IF(OR('Daily Check-In'!A164="",'Daily Check-In'!D164=""),"",'Daily Check-In'!D164)</f>
        <v/>
      </c>
      <c r="M164" t="str">
        <f>IF(OR('Daily Check-In'!A164="",'Daily Check-In'!E164=""),"",'Daily Check-In'!E164)</f>
        <v/>
      </c>
    </row>
    <row r="165" spans="10:13">
      <c r="J165" s="8" t="str">
        <f>IF('Daily Check-In'!A165="","",'Daily Check-In'!A165)</f>
        <v/>
      </c>
      <c r="K165" t="str">
        <f>IF(OR('Daily Check-In'!A165="",'Daily Check-In'!C165=""),"",'Daily Check-In'!C165)</f>
        <v/>
      </c>
      <c r="L165" t="str">
        <f>IF(OR('Daily Check-In'!A165="",'Daily Check-In'!D165=""),"",'Daily Check-In'!D165)</f>
        <v/>
      </c>
      <c r="M165" t="str">
        <f>IF(OR('Daily Check-In'!A165="",'Daily Check-In'!E165=""),"",'Daily Check-In'!E165)</f>
        <v/>
      </c>
    </row>
    <row r="166" spans="10:13">
      <c r="J166" s="8" t="str">
        <f>IF('Daily Check-In'!A166="","",'Daily Check-In'!A166)</f>
        <v/>
      </c>
      <c r="K166" t="str">
        <f>IF(OR('Daily Check-In'!A166="",'Daily Check-In'!C166=""),"",'Daily Check-In'!C166)</f>
        <v/>
      </c>
      <c r="L166" t="str">
        <f>IF(OR('Daily Check-In'!A166="",'Daily Check-In'!D166=""),"",'Daily Check-In'!D166)</f>
        <v/>
      </c>
      <c r="M166" t="str">
        <f>IF(OR('Daily Check-In'!A166="",'Daily Check-In'!E166=""),"",'Daily Check-In'!E166)</f>
        <v/>
      </c>
    </row>
    <row r="167" spans="10:13">
      <c r="J167" s="8" t="str">
        <f>IF('Daily Check-In'!A167="","",'Daily Check-In'!A167)</f>
        <v/>
      </c>
      <c r="K167" t="str">
        <f>IF(OR('Daily Check-In'!A167="",'Daily Check-In'!C167=""),"",'Daily Check-In'!C167)</f>
        <v/>
      </c>
      <c r="L167" t="str">
        <f>IF(OR('Daily Check-In'!A167="",'Daily Check-In'!D167=""),"",'Daily Check-In'!D167)</f>
        <v/>
      </c>
      <c r="M167" t="str">
        <f>IF(OR('Daily Check-In'!A167="",'Daily Check-In'!E167=""),"",'Daily Check-In'!E167)</f>
        <v/>
      </c>
    </row>
    <row r="168" spans="10:13">
      <c r="J168" s="8" t="str">
        <f>IF('Daily Check-In'!A168="","",'Daily Check-In'!A168)</f>
        <v/>
      </c>
      <c r="K168" t="str">
        <f>IF(OR('Daily Check-In'!A168="",'Daily Check-In'!C168=""),"",'Daily Check-In'!C168)</f>
        <v/>
      </c>
      <c r="L168" t="str">
        <f>IF(OR('Daily Check-In'!A168="",'Daily Check-In'!D168=""),"",'Daily Check-In'!D168)</f>
        <v/>
      </c>
      <c r="M168" t="str">
        <f>IF(OR('Daily Check-In'!A168="",'Daily Check-In'!E168=""),"",'Daily Check-In'!E168)</f>
        <v/>
      </c>
    </row>
    <row r="169" spans="10:13">
      <c r="J169" s="8" t="str">
        <f>IF('Daily Check-In'!A169="","",'Daily Check-In'!A169)</f>
        <v/>
      </c>
      <c r="K169" t="str">
        <f>IF(OR('Daily Check-In'!A169="",'Daily Check-In'!C169=""),"",'Daily Check-In'!C169)</f>
        <v/>
      </c>
      <c r="L169" t="str">
        <f>IF(OR('Daily Check-In'!A169="",'Daily Check-In'!D169=""),"",'Daily Check-In'!D169)</f>
        <v/>
      </c>
      <c r="M169" t="str">
        <f>IF(OR('Daily Check-In'!A169="",'Daily Check-In'!E169=""),"",'Daily Check-In'!E169)</f>
        <v/>
      </c>
    </row>
    <row r="170" spans="10:13">
      <c r="J170" s="8" t="str">
        <f>IF('Daily Check-In'!A170="","",'Daily Check-In'!A170)</f>
        <v/>
      </c>
      <c r="K170" t="str">
        <f>IF(OR('Daily Check-In'!A170="",'Daily Check-In'!C170=""),"",'Daily Check-In'!C170)</f>
        <v/>
      </c>
      <c r="L170" t="str">
        <f>IF(OR('Daily Check-In'!A170="",'Daily Check-In'!D170=""),"",'Daily Check-In'!D170)</f>
        <v/>
      </c>
      <c r="M170" t="str">
        <f>IF(OR('Daily Check-In'!A170="",'Daily Check-In'!E170=""),"",'Daily Check-In'!E170)</f>
        <v/>
      </c>
    </row>
    <row r="171" spans="10:13">
      <c r="J171" s="8" t="str">
        <f>IF('Daily Check-In'!A171="","",'Daily Check-In'!A171)</f>
        <v/>
      </c>
      <c r="K171" t="str">
        <f>IF(OR('Daily Check-In'!A171="",'Daily Check-In'!C171=""),"",'Daily Check-In'!C171)</f>
        <v/>
      </c>
      <c r="L171" t="str">
        <f>IF(OR('Daily Check-In'!A171="",'Daily Check-In'!D171=""),"",'Daily Check-In'!D171)</f>
        <v/>
      </c>
      <c r="M171" t="str">
        <f>IF(OR('Daily Check-In'!A171="",'Daily Check-In'!E171=""),"",'Daily Check-In'!E171)</f>
        <v/>
      </c>
    </row>
    <row r="172" spans="10:13">
      <c r="J172" s="8" t="str">
        <f>IF('Daily Check-In'!A172="","",'Daily Check-In'!A172)</f>
        <v/>
      </c>
      <c r="K172" t="str">
        <f>IF(OR('Daily Check-In'!A172="",'Daily Check-In'!C172=""),"",'Daily Check-In'!C172)</f>
        <v/>
      </c>
      <c r="L172" t="str">
        <f>IF(OR('Daily Check-In'!A172="",'Daily Check-In'!D172=""),"",'Daily Check-In'!D172)</f>
        <v/>
      </c>
      <c r="M172" t="str">
        <f>IF(OR('Daily Check-In'!A172="",'Daily Check-In'!E172=""),"",'Daily Check-In'!E172)</f>
        <v/>
      </c>
    </row>
    <row r="173" spans="10:13">
      <c r="J173" s="8" t="str">
        <f>IF('Daily Check-In'!A173="","",'Daily Check-In'!A173)</f>
        <v/>
      </c>
      <c r="K173" t="str">
        <f>IF(OR('Daily Check-In'!A173="",'Daily Check-In'!C173=""),"",'Daily Check-In'!C173)</f>
        <v/>
      </c>
      <c r="L173" t="str">
        <f>IF(OR('Daily Check-In'!A173="",'Daily Check-In'!D173=""),"",'Daily Check-In'!D173)</f>
        <v/>
      </c>
      <c r="M173" t="str">
        <f>IF(OR('Daily Check-In'!A173="",'Daily Check-In'!E173=""),"",'Daily Check-In'!E173)</f>
        <v/>
      </c>
    </row>
    <row r="174" spans="10:13">
      <c r="J174" s="8" t="str">
        <f>IF('Daily Check-In'!A174="","",'Daily Check-In'!A174)</f>
        <v/>
      </c>
      <c r="K174" t="str">
        <f>IF(OR('Daily Check-In'!A174="",'Daily Check-In'!C174=""),"",'Daily Check-In'!C174)</f>
        <v/>
      </c>
      <c r="L174" t="str">
        <f>IF(OR('Daily Check-In'!A174="",'Daily Check-In'!D174=""),"",'Daily Check-In'!D174)</f>
        <v/>
      </c>
      <c r="M174" t="str">
        <f>IF(OR('Daily Check-In'!A174="",'Daily Check-In'!E174=""),"",'Daily Check-In'!E174)</f>
        <v/>
      </c>
    </row>
    <row r="175" spans="10:13">
      <c r="J175" s="8" t="str">
        <f>IF('Daily Check-In'!A175="","",'Daily Check-In'!A175)</f>
        <v/>
      </c>
      <c r="K175" t="str">
        <f>IF(OR('Daily Check-In'!A175="",'Daily Check-In'!C175=""),"",'Daily Check-In'!C175)</f>
        <v/>
      </c>
      <c r="L175" t="str">
        <f>IF(OR('Daily Check-In'!A175="",'Daily Check-In'!D175=""),"",'Daily Check-In'!D175)</f>
        <v/>
      </c>
      <c r="M175" t="str">
        <f>IF(OR('Daily Check-In'!A175="",'Daily Check-In'!E175=""),"",'Daily Check-In'!E175)</f>
        <v/>
      </c>
    </row>
    <row r="176" spans="10:13">
      <c r="J176" s="8" t="str">
        <f>IF('Daily Check-In'!A176="","",'Daily Check-In'!A176)</f>
        <v/>
      </c>
      <c r="K176" t="str">
        <f>IF(OR('Daily Check-In'!A176="",'Daily Check-In'!C176=""),"",'Daily Check-In'!C176)</f>
        <v/>
      </c>
      <c r="L176" t="str">
        <f>IF(OR('Daily Check-In'!A176="",'Daily Check-In'!D176=""),"",'Daily Check-In'!D176)</f>
        <v/>
      </c>
      <c r="M176" t="str">
        <f>IF(OR('Daily Check-In'!A176="",'Daily Check-In'!E176=""),"",'Daily Check-In'!E176)</f>
        <v/>
      </c>
    </row>
    <row r="177" spans="10:13">
      <c r="J177" s="8" t="str">
        <f>IF('Daily Check-In'!A177="","",'Daily Check-In'!A177)</f>
        <v/>
      </c>
      <c r="K177" t="str">
        <f>IF(OR('Daily Check-In'!A177="",'Daily Check-In'!C177=""),"",'Daily Check-In'!C177)</f>
        <v/>
      </c>
      <c r="L177" t="str">
        <f>IF(OR('Daily Check-In'!A177="",'Daily Check-In'!D177=""),"",'Daily Check-In'!D177)</f>
        <v/>
      </c>
      <c r="M177" t="str">
        <f>IF(OR('Daily Check-In'!A177="",'Daily Check-In'!E177=""),"",'Daily Check-In'!E177)</f>
        <v/>
      </c>
    </row>
    <row r="178" spans="10:13">
      <c r="J178" s="8" t="str">
        <f>IF('Daily Check-In'!A178="","",'Daily Check-In'!A178)</f>
        <v/>
      </c>
      <c r="K178" t="str">
        <f>IF(OR('Daily Check-In'!A178="",'Daily Check-In'!C178=""),"",'Daily Check-In'!C178)</f>
        <v/>
      </c>
      <c r="L178" t="str">
        <f>IF(OR('Daily Check-In'!A178="",'Daily Check-In'!D178=""),"",'Daily Check-In'!D178)</f>
        <v/>
      </c>
      <c r="M178" t="str">
        <f>IF(OR('Daily Check-In'!A178="",'Daily Check-In'!E178=""),"",'Daily Check-In'!E178)</f>
        <v/>
      </c>
    </row>
    <row r="179" spans="10:13">
      <c r="J179" s="8" t="str">
        <f>IF('Daily Check-In'!A179="","",'Daily Check-In'!A179)</f>
        <v/>
      </c>
      <c r="K179" t="str">
        <f>IF(OR('Daily Check-In'!A179="",'Daily Check-In'!C179=""),"",'Daily Check-In'!C179)</f>
        <v/>
      </c>
      <c r="L179" t="str">
        <f>IF(OR('Daily Check-In'!A179="",'Daily Check-In'!D179=""),"",'Daily Check-In'!D179)</f>
        <v/>
      </c>
      <c r="M179" t="str">
        <f>IF(OR('Daily Check-In'!A179="",'Daily Check-In'!E179=""),"",'Daily Check-In'!E179)</f>
        <v/>
      </c>
    </row>
    <row r="180" spans="10:13">
      <c r="J180" s="8" t="str">
        <f>IF('Daily Check-In'!A180="","",'Daily Check-In'!A180)</f>
        <v/>
      </c>
      <c r="K180" t="str">
        <f>IF(OR('Daily Check-In'!A180="",'Daily Check-In'!C180=""),"",'Daily Check-In'!C180)</f>
        <v/>
      </c>
      <c r="L180" t="str">
        <f>IF(OR('Daily Check-In'!A180="",'Daily Check-In'!D180=""),"",'Daily Check-In'!D180)</f>
        <v/>
      </c>
      <c r="M180" t="str">
        <f>IF(OR('Daily Check-In'!A180="",'Daily Check-In'!E180=""),"",'Daily Check-In'!E180)</f>
        <v/>
      </c>
    </row>
    <row r="181" spans="10:13">
      <c r="J181" s="8" t="str">
        <f>IF('Daily Check-In'!A181="","",'Daily Check-In'!A181)</f>
        <v/>
      </c>
      <c r="K181" t="str">
        <f>IF(OR('Daily Check-In'!A181="",'Daily Check-In'!C181=""),"",'Daily Check-In'!C181)</f>
        <v/>
      </c>
      <c r="L181" t="str">
        <f>IF(OR('Daily Check-In'!A181="",'Daily Check-In'!D181=""),"",'Daily Check-In'!D181)</f>
        <v/>
      </c>
      <c r="M181" t="str">
        <f>IF(OR('Daily Check-In'!A181="",'Daily Check-In'!E181=""),"",'Daily Check-In'!E181)</f>
        <v/>
      </c>
    </row>
    <row r="182" spans="10:13">
      <c r="J182" s="8" t="str">
        <f>IF('Daily Check-In'!A182="","",'Daily Check-In'!A182)</f>
        <v/>
      </c>
      <c r="K182" t="str">
        <f>IF(OR('Daily Check-In'!A182="",'Daily Check-In'!C182=""),"",'Daily Check-In'!C182)</f>
        <v/>
      </c>
      <c r="L182" t="str">
        <f>IF(OR('Daily Check-In'!A182="",'Daily Check-In'!D182=""),"",'Daily Check-In'!D182)</f>
        <v/>
      </c>
      <c r="M182" t="str">
        <f>IF(OR('Daily Check-In'!A182="",'Daily Check-In'!E182=""),"",'Daily Check-In'!E182)</f>
        <v/>
      </c>
    </row>
    <row r="183" spans="10:13">
      <c r="J183" s="8" t="str">
        <f>IF('Daily Check-In'!A183="","",'Daily Check-In'!A183)</f>
        <v/>
      </c>
      <c r="K183" t="str">
        <f>IF(OR('Daily Check-In'!A183="",'Daily Check-In'!C183=""),"",'Daily Check-In'!C183)</f>
        <v/>
      </c>
      <c r="L183" t="str">
        <f>IF(OR('Daily Check-In'!A183="",'Daily Check-In'!D183=""),"",'Daily Check-In'!D183)</f>
        <v/>
      </c>
      <c r="M183" t="str">
        <f>IF(OR('Daily Check-In'!A183="",'Daily Check-In'!E183=""),"",'Daily Check-In'!E183)</f>
        <v/>
      </c>
    </row>
    <row r="184" spans="10:13">
      <c r="J184" s="8" t="str">
        <f>IF('Daily Check-In'!A184="","",'Daily Check-In'!A184)</f>
        <v/>
      </c>
      <c r="K184" t="str">
        <f>IF(OR('Daily Check-In'!A184="",'Daily Check-In'!C184=""),"",'Daily Check-In'!C184)</f>
        <v/>
      </c>
      <c r="L184" t="str">
        <f>IF(OR('Daily Check-In'!A184="",'Daily Check-In'!D184=""),"",'Daily Check-In'!D184)</f>
        <v/>
      </c>
      <c r="M184" t="str">
        <f>IF(OR('Daily Check-In'!A184="",'Daily Check-In'!E184=""),"",'Daily Check-In'!E184)</f>
        <v/>
      </c>
    </row>
    <row r="185" spans="10:13">
      <c r="J185" s="8" t="str">
        <f>IF('Daily Check-In'!A185="","",'Daily Check-In'!A185)</f>
        <v/>
      </c>
      <c r="K185" t="str">
        <f>IF(OR('Daily Check-In'!A185="",'Daily Check-In'!C185=""),"",'Daily Check-In'!C185)</f>
        <v/>
      </c>
      <c r="L185" t="str">
        <f>IF(OR('Daily Check-In'!A185="",'Daily Check-In'!D185=""),"",'Daily Check-In'!D185)</f>
        <v/>
      </c>
      <c r="M185" t="str">
        <f>IF(OR('Daily Check-In'!A185="",'Daily Check-In'!E185=""),"",'Daily Check-In'!E185)</f>
        <v/>
      </c>
    </row>
    <row r="186" spans="10:13">
      <c r="J186" s="8" t="str">
        <f>IF('Daily Check-In'!A186="","",'Daily Check-In'!A186)</f>
        <v/>
      </c>
      <c r="K186" t="str">
        <f>IF(OR('Daily Check-In'!A186="",'Daily Check-In'!C186=""),"",'Daily Check-In'!C186)</f>
        <v/>
      </c>
      <c r="L186" t="str">
        <f>IF(OR('Daily Check-In'!A186="",'Daily Check-In'!D186=""),"",'Daily Check-In'!D186)</f>
        <v/>
      </c>
      <c r="M186" t="str">
        <f>IF(OR('Daily Check-In'!A186="",'Daily Check-In'!E186=""),"",'Daily Check-In'!E186)</f>
        <v/>
      </c>
    </row>
    <row r="187" spans="10:13">
      <c r="J187" s="8" t="str">
        <f>IF('Daily Check-In'!A187="","",'Daily Check-In'!A187)</f>
        <v/>
      </c>
      <c r="K187" t="str">
        <f>IF(OR('Daily Check-In'!A187="",'Daily Check-In'!C187=""),"",'Daily Check-In'!C187)</f>
        <v/>
      </c>
      <c r="L187" t="str">
        <f>IF(OR('Daily Check-In'!A187="",'Daily Check-In'!D187=""),"",'Daily Check-In'!D187)</f>
        <v/>
      </c>
      <c r="M187" t="str">
        <f>IF(OR('Daily Check-In'!A187="",'Daily Check-In'!E187=""),"",'Daily Check-In'!E187)</f>
        <v/>
      </c>
    </row>
    <row r="188" spans="10:13">
      <c r="J188" s="8" t="str">
        <f>IF('Daily Check-In'!A188="","",'Daily Check-In'!A188)</f>
        <v/>
      </c>
      <c r="K188" t="str">
        <f>IF(OR('Daily Check-In'!A188="",'Daily Check-In'!C188=""),"",'Daily Check-In'!C188)</f>
        <v/>
      </c>
      <c r="L188" t="str">
        <f>IF(OR('Daily Check-In'!A188="",'Daily Check-In'!D188=""),"",'Daily Check-In'!D188)</f>
        <v/>
      </c>
      <c r="M188" t="str">
        <f>IF(OR('Daily Check-In'!A188="",'Daily Check-In'!E188=""),"",'Daily Check-In'!E188)</f>
        <v/>
      </c>
    </row>
    <row r="189" spans="10:13">
      <c r="J189" s="8" t="str">
        <f>IF('Daily Check-In'!A189="","",'Daily Check-In'!A189)</f>
        <v/>
      </c>
      <c r="K189" t="str">
        <f>IF(OR('Daily Check-In'!A189="",'Daily Check-In'!C189=""),"",'Daily Check-In'!C189)</f>
        <v/>
      </c>
      <c r="L189" t="str">
        <f>IF(OR('Daily Check-In'!A189="",'Daily Check-In'!D189=""),"",'Daily Check-In'!D189)</f>
        <v/>
      </c>
      <c r="M189" t="str">
        <f>IF(OR('Daily Check-In'!A189="",'Daily Check-In'!E189=""),"",'Daily Check-In'!E189)</f>
        <v/>
      </c>
    </row>
    <row r="190" spans="10:13">
      <c r="J190" s="8" t="str">
        <f>IF('Daily Check-In'!A190="","",'Daily Check-In'!A190)</f>
        <v/>
      </c>
      <c r="K190" t="str">
        <f>IF(OR('Daily Check-In'!A190="",'Daily Check-In'!C190=""),"",'Daily Check-In'!C190)</f>
        <v/>
      </c>
      <c r="L190" t="str">
        <f>IF(OR('Daily Check-In'!A190="",'Daily Check-In'!D190=""),"",'Daily Check-In'!D190)</f>
        <v/>
      </c>
      <c r="M190" t="str">
        <f>IF(OR('Daily Check-In'!A190="",'Daily Check-In'!E190=""),"",'Daily Check-In'!E190)</f>
        <v/>
      </c>
    </row>
    <row r="191" spans="10:13">
      <c r="J191" s="8" t="str">
        <f>IF('Daily Check-In'!A191="","",'Daily Check-In'!A191)</f>
        <v/>
      </c>
      <c r="K191" t="str">
        <f>IF(OR('Daily Check-In'!A191="",'Daily Check-In'!C191=""),"",'Daily Check-In'!C191)</f>
        <v/>
      </c>
      <c r="L191" t="str">
        <f>IF(OR('Daily Check-In'!A191="",'Daily Check-In'!D191=""),"",'Daily Check-In'!D191)</f>
        <v/>
      </c>
      <c r="M191" t="str">
        <f>IF(OR('Daily Check-In'!A191="",'Daily Check-In'!E191=""),"",'Daily Check-In'!E191)</f>
        <v/>
      </c>
    </row>
    <row r="192" spans="10:13">
      <c r="J192" s="8" t="str">
        <f>IF('Daily Check-In'!A192="","",'Daily Check-In'!A192)</f>
        <v/>
      </c>
      <c r="K192" t="str">
        <f>IF(OR('Daily Check-In'!A192="",'Daily Check-In'!C192=""),"",'Daily Check-In'!C192)</f>
        <v/>
      </c>
      <c r="L192" t="str">
        <f>IF(OR('Daily Check-In'!A192="",'Daily Check-In'!D192=""),"",'Daily Check-In'!D192)</f>
        <v/>
      </c>
      <c r="M192" t="str">
        <f>IF(OR('Daily Check-In'!A192="",'Daily Check-In'!E192=""),"",'Daily Check-In'!E192)</f>
        <v/>
      </c>
    </row>
    <row r="193" spans="10:13">
      <c r="J193" s="8" t="str">
        <f>IF('Daily Check-In'!A193="","",'Daily Check-In'!A193)</f>
        <v/>
      </c>
      <c r="K193" t="str">
        <f>IF(OR('Daily Check-In'!A193="",'Daily Check-In'!C193=""),"",'Daily Check-In'!C193)</f>
        <v/>
      </c>
      <c r="L193" t="str">
        <f>IF(OR('Daily Check-In'!A193="",'Daily Check-In'!D193=""),"",'Daily Check-In'!D193)</f>
        <v/>
      </c>
      <c r="M193" t="str">
        <f>IF(OR('Daily Check-In'!A193="",'Daily Check-In'!E193=""),"",'Daily Check-In'!E193)</f>
        <v/>
      </c>
    </row>
    <row r="194" spans="10:13">
      <c r="J194" s="8" t="str">
        <f>IF('Daily Check-In'!A194="","",'Daily Check-In'!A194)</f>
        <v/>
      </c>
      <c r="K194" t="str">
        <f>IF(OR('Daily Check-In'!A194="",'Daily Check-In'!C194=""),"",'Daily Check-In'!C194)</f>
        <v/>
      </c>
      <c r="L194" t="str">
        <f>IF(OR('Daily Check-In'!A194="",'Daily Check-In'!D194=""),"",'Daily Check-In'!D194)</f>
        <v/>
      </c>
      <c r="M194" t="str">
        <f>IF(OR('Daily Check-In'!A194="",'Daily Check-In'!E194=""),"",'Daily Check-In'!E194)</f>
        <v/>
      </c>
    </row>
    <row r="195" spans="10:13">
      <c r="J195" s="8" t="str">
        <f>IF('Daily Check-In'!A195="","",'Daily Check-In'!A195)</f>
        <v/>
      </c>
      <c r="K195" t="str">
        <f>IF(OR('Daily Check-In'!A195="",'Daily Check-In'!C195=""),"",'Daily Check-In'!C195)</f>
        <v/>
      </c>
      <c r="L195" t="str">
        <f>IF(OR('Daily Check-In'!A195="",'Daily Check-In'!D195=""),"",'Daily Check-In'!D195)</f>
        <v/>
      </c>
      <c r="M195" t="str">
        <f>IF(OR('Daily Check-In'!A195="",'Daily Check-In'!E195=""),"",'Daily Check-In'!E195)</f>
        <v/>
      </c>
    </row>
    <row r="196" spans="10:13">
      <c r="J196" s="8" t="str">
        <f>IF('Daily Check-In'!A196="","",'Daily Check-In'!A196)</f>
        <v/>
      </c>
      <c r="K196" t="str">
        <f>IF(OR('Daily Check-In'!A196="",'Daily Check-In'!C196=""),"",'Daily Check-In'!C196)</f>
        <v/>
      </c>
      <c r="L196" t="str">
        <f>IF(OR('Daily Check-In'!A196="",'Daily Check-In'!D196=""),"",'Daily Check-In'!D196)</f>
        <v/>
      </c>
      <c r="M196" t="str">
        <f>IF(OR('Daily Check-In'!A196="",'Daily Check-In'!E196=""),"",'Daily Check-In'!E196)</f>
        <v/>
      </c>
    </row>
    <row r="197" spans="10:13">
      <c r="J197" s="8" t="str">
        <f>IF('Daily Check-In'!A197="","",'Daily Check-In'!A197)</f>
        <v/>
      </c>
      <c r="K197" t="str">
        <f>IF(OR('Daily Check-In'!A197="",'Daily Check-In'!C197=""),"",'Daily Check-In'!C197)</f>
        <v/>
      </c>
      <c r="L197" t="str">
        <f>IF(OR('Daily Check-In'!A197="",'Daily Check-In'!D197=""),"",'Daily Check-In'!D197)</f>
        <v/>
      </c>
      <c r="M197" t="str">
        <f>IF(OR('Daily Check-In'!A197="",'Daily Check-In'!E197=""),"",'Daily Check-In'!E197)</f>
        <v/>
      </c>
    </row>
    <row r="198" spans="10:13">
      <c r="J198" s="8" t="str">
        <f>IF('Daily Check-In'!A198="","",'Daily Check-In'!A198)</f>
        <v/>
      </c>
      <c r="K198" t="str">
        <f>IF(OR('Daily Check-In'!A198="",'Daily Check-In'!C198=""),"",'Daily Check-In'!C198)</f>
        <v/>
      </c>
      <c r="L198" t="str">
        <f>IF(OR('Daily Check-In'!A198="",'Daily Check-In'!D198=""),"",'Daily Check-In'!D198)</f>
        <v/>
      </c>
      <c r="M198" t="str">
        <f>IF(OR('Daily Check-In'!A198="",'Daily Check-In'!E198=""),"",'Daily Check-In'!E198)</f>
        <v/>
      </c>
    </row>
    <row r="199" spans="10:13">
      <c r="J199" s="8" t="str">
        <f>IF('Daily Check-In'!A199="","",'Daily Check-In'!A199)</f>
        <v/>
      </c>
      <c r="K199" t="str">
        <f>IF(OR('Daily Check-In'!A199="",'Daily Check-In'!C199=""),"",'Daily Check-In'!C199)</f>
        <v/>
      </c>
      <c r="L199" t="str">
        <f>IF(OR('Daily Check-In'!A199="",'Daily Check-In'!D199=""),"",'Daily Check-In'!D199)</f>
        <v/>
      </c>
      <c r="M199" t="str">
        <f>IF(OR('Daily Check-In'!A199="",'Daily Check-In'!E199=""),"",'Daily Check-In'!E199)</f>
        <v/>
      </c>
    </row>
    <row r="200" spans="10:13">
      <c r="J200" s="8" t="str">
        <f>IF('Daily Check-In'!A200="","",'Daily Check-In'!A200)</f>
        <v/>
      </c>
      <c r="K200" t="str">
        <f>IF(OR('Daily Check-In'!A200="",'Daily Check-In'!C200=""),"",'Daily Check-In'!C200)</f>
        <v/>
      </c>
      <c r="L200" t="str">
        <f>IF(OR('Daily Check-In'!A200="",'Daily Check-In'!D200=""),"",'Daily Check-In'!D200)</f>
        <v/>
      </c>
      <c r="M200" t="str">
        <f>IF(OR('Daily Check-In'!A200="",'Daily Check-In'!E200=""),"",'Daily Check-In'!E200)</f>
        <v/>
      </c>
    </row>
    <row r="201" spans="10:13">
      <c r="J201" s="8" t="str">
        <f>IF('Daily Check-In'!A201="","",'Daily Check-In'!A201)</f>
        <v/>
      </c>
      <c r="K201" t="str">
        <f>IF(OR('Daily Check-In'!A201="",'Daily Check-In'!C201=""),"",'Daily Check-In'!C201)</f>
        <v/>
      </c>
      <c r="L201" t="str">
        <f>IF(OR('Daily Check-In'!A201="",'Daily Check-In'!D201=""),"",'Daily Check-In'!D201)</f>
        <v/>
      </c>
      <c r="M201" t="str">
        <f>IF(OR('Daily Check-In'!A201="",'Daily Check-In'!E201=""),"",'Daily Check-In'!E201)</f>
        <v/>
      </c>
    </row>
    <row r="202" spans="10:13">
      <c r="J202" s="8" t="str">
        <f>IF('Daily Check-In'!A202="","",'Daily Check-In'!A202)</f>
        <v/>
      </c>
      <c r="K202" t="str">
        <f>IF(OR('Daily Check-In'!A202="",'Daily Check-In'!C202=""),"",'Daily Check-In'!C202)</f>
        <v/>
      </c>
      <c r="L202" t="str">
        <f>IF(OR('Daily Check-In'!A202="",'Daily Check-In'!D202=""),"",'Daily Check-In'!D202)</f>
        <v/>
      </c>
      <c r="M202" t="str">
        <f>IF(OR('Daily Check-In'!A202="",'Daily Check-In'!E202=""),"",'Daily Check-In'!E202)</f>
        <v/>
      </c>
    </row>
    <row r="203" spans="10:13">
      <c r="J203" s="8" t="str">
        <f>IF('Daily Check-In'!A203="","",'Daily Check-In'!A203)</f>
        <v/>
      </c>
      <c r="K203" t="str">
        <f>IF(OR('Daily Check-In'!A203="",'Daily Check-In'!C203=""),"",'Daily Check-In'!C203)</f>
        <v/>
      </c>
      <c r="L203" t="str">
        <f>IF(OR('Daily Check-In'!A203="",'Daily Check-In'!D203=""),"",'Daily Check-In'!D203)</f>
        <v/>
      </c>
      <c r="M203" t="str">
        <f>IF(OR('Daily Check-In'!A203="",'Daily Check-In'!E203=""),"",'Daily Check-In'!E203)</f>
        <v/>
      </c>
    </row>
    <row r="204" spans="10:13">
      <c r="J204" s="8" t="str">
        <f>IF('Daily Check-In'!A204="","",'Daily Check-In'!A204)</f>
        <v/>
      </c>
      <c r="K204" t="str">
        <f>IF(OR('Daily Check-In'!A204="",'Daily Check-In'!C204=""),"",'Daily Check-In'!C204)</f>
        <v/>
      </c>
      <c r="L204" t="str">
        <f>IF(OR('Daily Check-In'!A204="",'Daily Check-In'!D204=""),"",'Daily Check-In'!D204)</f>
        <v/>
      </c>
      <c r="M204" t="str">
        <f>IF(OR('Daily Check-In'!A204="",'Daily Check-In'!E204=""),"",'Daily Check-In'!E204)</f>
        <v/>
      </c>
    </row>
    <row r="205" spans="10:13">
      <c r="J205" s="8" t="str">
        <f>IF('Daily Check-In'!A205="","",'Daily Check-In'!A205)</f>
        <v/>
      </c>
      <c r="K205" t="str">
        <f>IF(OR('Daily Check-In'!A205="",'Daily Check-In'!C205=""),"",'Daily Check-In'!C205)</f>
        <v/>
      </c>
      <c r="L205" t="str">
        <f>IF(OR('Daily Check-In'!A205="",'Daily Check-In'!D205=""),"",'Daily Check-In'!D205)</f>
        <v/>
      </c>
      <c r="M205" t="str">
        <f>IF(OR('Daily Check-In'!A205="",'Daily Check-In'!E205=""),"",'Daily Check-In'!E205)</f>
        <v/>
      </c>
    </row>
    <row r="206" spans="10:13">
      <c r="J206" s="8" t="str">
        <f>IF('Daily Check-In'!A206="","",'Daily Check-In'!A206)</f>
        <v/>
      </c>
      <c r="K206" t="str">
        <f>IF(OR('Daily Check-In'!A206="",'Daily Check-In'!C206=""),"",'Daily Check-In'!C206)</f>
        <v/>
      </c>
      <c r="L206" t="str">
        <f>IF(OR('Daily Check-In'!A206="",'Daily Check-In'!D206=""),"",'Daily Check-In'!D206)</f>
        <v/>
      </c>
      <c r="M206" t="str">
        <f>IF(OR('Daily Check-In'!A206="",'Daily Check-In'!E206=""),"",'Daily Check-In'!E206)</f>
        <v/>
      </c>
    </row>
    <row r="207" spans="10:13">
      <c r="J207" s="8" t="str">
        <f>IF('Daily Check-In'!A207="","",'Daily Check-In'!A207)</f>
        <v/>
      </c>
      <c r="K207" t="str">
        <f>IF(OR('Daily Check-In'!A207="",'Daily Check-In'!C207=""),"",'Daily Check-In'!C207)</f>
        <v/>
      </c>
      <c r="L207" t="str">
        <f>IF(OR('Daily Check-In'!A207="",'Daily Check-In'!D207=""),"",'Daily Check-In'!D207)</f>
        <v/>
      </c>
      <c r="M207" t="str">
        <f>IF(OR('Daily Check-In'!A207="",'Daily Check-In'!E207=""),"",'Daily Check-In'!E207)</f>
        <v/>
      </c>
    </row>
    <row r="208" spans="10:13">
      <c r="J208" s="8" t="str">
        <f>IF('Daily Check-In'!A208="","",'Daily Check-In'!A208)</f>
        <v/>
      </c>
      <c r="K208" t="str">
        <f>IF(OR('Daily Check-In'!A208="",'Daily Check-In'!C208=""),"",'Daily Check-In'!C208)</f>
        <v/>
      </c>
      <c r="L208" t="str">
        <f>IF(OR('Daily Check-In'!A208="",'Daily Check-In'!D208=""),"",'Daily Check-In'!D208)</f>
        <v/>
      </c>
      <c r="M208" t="str">
        <f>IF(OR('Daily Check-In'!A208="",'Daily Check-In'!E208=""),"",'Daily Check-In'!E208)</f>
        <v/>
      </c>
    </row>
    <row r="209" spans="10:13">
      <c r="J209" s="8" t="str">
        <f>IF('Daily Check-In'!A209="","",'Daily Check-In'!A209)</f>
        <v/>
      </c>
      <c r="K209" t="str">
        <f>IF(OR('Daily Check-In'!A209="",'Daily Check-In'!C209=""),"",'Daily Check-In'!C209)</f>
        <v/>
      </c>
      <c r="L209" t="str">
        <f>IF(OR('Daily Check-In'!A209="",'Daily Check-In'!D209=""),"",'Daily Check-In'!D209)</f>
        <v/>
      </c>
      <c r="M209" t="str">
        <f>IF(OR('Daily Check-In'!A209="",'Daily Check-In'!E209=""),"",'Daily Check-In'!E209)</f>
        <v/>
      </c>
    </row>
    <row r="210" spans="10:13">
      <c r="J210" s="8" t="str">
        <f>IF('Daily Check-In'!A210="","",'Daily Check-In'!A210)</f>
        <v/>
      </c>
      <c r="K210" t="str">
        <f>IF(OR('Daily Check-In'!A210="",'Daily Check-In'!C210=""),"",'Daily Check-In'!C210)</f>
        <v/>
      </c>
      <c r="L210" t="str">
        <f>IF(OR('Daily Check-In'!A210="",'Daily Check-In'!D210=""),"",'Daily Check-In'!D210)</f>
        <v/>
      </c>
      <c r="M210" t="str">
        <f>IF(OR('Daily Check-In'!A210="",'Daily Check-In'!E210=""),"",'Daily Check-In'!E210)</f>
        <v/>
      </c>
    </row>
    <row r="211" spans="10:13">
      <c r="J211" s="8" t="str">
        <f>IF('Daily Check-In'!A211="","",'Daily Check-In'!A211)</f>
        <v/>
      </c>
      <c r="K211" t="str">
        <f>IF(OR('Daily Check-In'!A211="",'Daily Check-In'!C211=""),"",'Daily Check-In'!C211)</f>
        <v/>
      </c>
      <c r="L211" t="str">
        <f>IF(OR('Daily Check-In'!A211="",'Daily Check-In'!D211=""),"",'Daily Check-In'!D211)</f>
        <v/>
      </c>
      <c r="M211" t="str">
        <f>IF(OR('Daily Check-In'!A211="",'Daily Check-In'!E211=""),"",'Daily Check-In'!E211)</f>
        <v/>
      </c>
    </row>
    <row r="212" spans="10:13">
      <c r="J212" s="8" t="str">
        <f>IF('Daily Check-In'!A212="","",'Daily Check-In'!A212)</f>
        <v/>
      </c>
      <c r="K212" t="str">
        <f>IF(OR('Daily Check-In'!A212="",'Daily Check-In'!C212=""),"",'Daily Check-In'!C212)</f>
        <v/>
      </c>
      <c r="L212" t="str">
        <f>IF(OR('Daily Check-In'!A212="",'Daily Check-In'!D212=""),"",'Daily Check-In'!D212)</f>
        <v/>
      </c>
      <c r="M212" t="str">
        <f>IF(OR('Daily Check-In'!A212="",'Daily Check-In'!E212=""),"",'Daily Check-In'!E212)</f>
        <v/>
      </c>
    </row>
    <row r="213" spans="10:13">
      <c r="J213" s="8" t="str">
        <f>IF('Daily Check-In'!A213="","",'Daily Check-In'!A213)</f>
        <v/>
      </c>
      <c r="K213" t="str">
        <f>IF(OR('Daily Check-In'!A213="",'Daily Check-In'!C213=""),"",'Daily Check-In'!C213)</f>
        <v/>
      </c>
      <c r="L213" t="str">
        <f>IF(OR('Daily Check-In'!A213="",'Daily Check-In'!D213=""),"",'Daily Check-In'!D213)</f>
        <v/>
      </c>
      <c r="M213" t="str">
        <f>IF(OR('Daily Check-In'!A213="",'Daily Check-In'!E213=""),"",'Daily Check-In'!E213)</f>
        <v/>
      </c>
    </row>
    <row r="214" spans="10:13">
      <c r="J214" s="8" t="str">
        <f>IF('Daily Check-In'!A214="","",'Daily Check-In'!A214)</f>
        <v/>
      </c>
      <c r="K214" t="str">
        <f>IF(OR('Daily Check-In'!A214="",'Daily Check-In'!C214=""),"",'Daily Check-In'!C214)</f>
        <v/>
      </c>
      <c r="L214" t="str">
        <f>IF(OR('Daily Check-In'!A214="",'Daily Check-In'!D214=""),"",'Daily Check-In'!D214)</f>
        <v/>
      </c>
      <c r="M214" t="str">
        <f>IF(OR('Daily Check-In'!A214="",'Daily Check-In'!E214=""),"",'Daily Check-In'!E214)</f>
        <v/>
      </c>
    </row>
    <row r="215" spans="10:13">
      <c r="J215" s="8" t="str">
        <f>IF('Daily Check-In'!A215="","",'Daily Check-In'!A215)</f>
        <v/>
      </c>
      <c r="K215" t="str">
        <f>IF(OR('Daily Check-In'!A215="",'Daily Check-In'!C215=""),"",'Daily Check-In'!C215)</f>
        <v/>
      </c>
      <c r="L215" t="str">
        <f>IF(OR('Daily Check-In'!A215="",'Daily Check-In'!D215=""),"",'Daily Check-In'!D215)</f>
        <v/>
      </c>
      <c r="M215" t="str">
        <f>IF(OR('Daily Check-In'!A215="",'Daily Check-In'!E215=""),"",'Daily Check-In'!E215)</f>
        <v/>
      </c>
    </row>
    <row r="216" spans="10:13">
      <c r="J216" s="8" t="str">
        <f>IF('Daily Check-In'!A216="","",'Daily Check-In'!A216)</f>
        <v/>
      </c>
      <c r="K216" t="str">
        <f>IF(OR('Daily Check-In'!A216="",'Daily Check-In'!C216=""),"",'Daily Check-In'!C216)</f>
        <v/>
      </c>
      <c r="L216" t="str">
        <f>IF(OR('Daily Check-In'!A216="",'Daily Check-In'!D216=""),"",'Daily Check-In'!D216)</f>
        <v/>
      </c>
      <c r="M216" t="str">
        <f>IF(OR('Daily Check-In'!A216="",'Daily Check-In'!E216=""),"",'Daily Check-In'!E216)</f>
        <v/>
      </c>
    </row>
    <row r="217" spans="10:13">
      <c r="J217" s="8" t="str">
        <f>IF('Daily Check-In'!A217="","",'Daily Check-In'!A217)</f>
        <v/>
      </c>
      <c r="K217" t="str">
        <f>IF(OR('Daily Check-In'!A217="",'Daily Check-In'!C217=""),"",'Daily Check-In'!C217)</f>
        <v/>
      </c>
      <c r="L217" t="str">
        <f>IF(OR('Daily Check-In'!A217="",'Daily Check-In'!D217=""),"",'Daily Check-In'!D217)</f>
        <v/>
      </c>
      <c r="M217" t="str">
        <f>IF(OR('Daily Check-In'!A217="",'Daily Check-In'!E217=""),"",'Daily Check-In'!E217)</f>
        <v/>
      </c>
    </row>
    <row r="218" spans="10:13">
      <c r="J218" s="8" t="str">
        <f>IF('Daily Check-In'!A218="","",'Daily Check-In'!A218)</f>
        <v/>
      </c>
      <c r="K218" t="str">
        <f>IF(OR('Daily Check-In'!A218="",'Daily Check-In'!C218=""),"",'Daily Check-In'!C218)</f>
        <v/>
      </c>
      <c r="L218" t="str">
        <f>IF(OR('Daily Check-In'!A218="",'Daily Check-In'!D218=""),"",'Daily Check-In'!D218)</f>
        <v/>
      </c>
      <c r="M218" t="str">
        <f>IF(OR('Daily Check-In'!A218="",'Daily Check-In'!E218=""),"",'Daily Check-In'!E218)</f>
        <v/>
      </c>
    </row>
    <row r="219" spans="10:13">
      <c r="J219" s="8" t="str">
        <f>IF('Daily Check-In'!A219="","",'Daily Check-In'!A219)</f>
        <v/>
      </c>
      <c r="K219" t="str">
        <f>IF(OR('Daily Check-In'!A219="",'Daily Check-In'!C219=""),"",'Daily Check-In'!C219)</f>
        <v/>
      </c>
      <c r="L219" t="str">
        <f>IF(OR('Daily Check-In'!A219="",'Daily Check-In'!D219=""),"",'Daily Check-In'!D219)</f>
        <v/>
      </c>
      <c r="M219" t="str">
        <f>IF(OR('Daily Check-In'!A219="",'Daily Check-In'!E219=""),"",'Daily Check-In'!E219)</f>
        <v/>
      </c>
    </row>
    <row r="220" spans="10:13">
      <c r="J220" s="8" t="str">
        <f>IF('Daily Check-In'!A220="","",'Daily Check-In'!A220)</f>
        <v/>
      </c>
      <c r="K220" t="str">
        <f>IF(OR('Daily Check-In'!A220="",'Daily Check-In'!C220=""),"",'Daily Check-In'!C220)</f>
        <v/>
      </c>
      <c r="L220" t="str">
        <f>IF(OR('Daily Check-In'!A220="",'Daily Check-In'!D220=""),"",'Daily Check-In'!D220)</f>
        <v/>
      </c>
      <c r="M220" t="str">
        <f>IF(OR('Daily Check-In'!A220="",'Daily Check-In'!E220=""),"",'Daily Check-In'!E220)</f>
        <v/>
      </c>
    </row>
    <row r="221" spans="10:13">
      <c r="J221" s="8" t="str">
        <f>IF('Daily Check-In'!A221="","",'Daily Check-In'!A221)</f>
        <v/>
      </c>
      <c r="K221" t="str">
        <f>IF(OR('Daily Check-In'!A221="",'Daily Check-In'!C221=""),"",'Daily Check-In'!C221)</f>
        <v/>
      </c>
      <c r="L221" t="str">
        <f>IF(OR('Daily Check-In'!A221="",'Daily Check-In'!D221=""),"",'Daily Check-In'!D221)</f>
        <v/>
      </c>
      <c r="M221" t="str">
        <f>IF(OR('Daily Check-In'!A221="",'Daily Check-In'!E221=""),"",'Daily Check-In'!E221)</f>
        <v/>
      </c>
    </row>
    <row r="222" spans="10:13">
      <c r="J222" s="8" t="str">
        <f>IF('Daily Check-In'!A222="","",'Daily Check-In'!A222)</f>
        <v/>
      </c>
      <c r="K222" t="str">
        <f>IF(OR('Daily Check-In'!A222="",'Daily Check-In'!C222=""),"",'Daily Check-In'!C222)</f>
        <v/>
      </c>
      <c r="L222" t="str">
        <f>IF(OR('Daily Check-In'!A222="",'Daily Check-In'!D222=""),"",'Daily Check-In'!D222)</f>
        <v/>
      </c>
      <c r="M222" t="str">
        <f>IF(OR('Daily Check-In'!A222="",'Daily Check-In'!E222=""),"",'Daily Check-In'!E222)</f>
        <v/>
      </c>
    </row>
    <row r="223" spans="10:13">
      <c r="J223" s="8" t="str">
        <f>IF('Daily Check-In'!A223="","",'Daily Check-In'!A223)</f>
        <v/>
      </c>
      <c r="K223" t="str">
        <f>IF(OR('Daily Check-In'!A223="",'Daily Check-In'!C223=""),"",'Daily Check-In'!C223)</f>
        <v/>
      </c>
      <c r="L223" t="str">
        <f>IF(OR('Daily Check-In'!A223="",'Daily Check-In'!D223=""),"",'Daily Check-In'!D223)</f>
        <v/>
      </c>
      <c r="M223" t="str">
        <f>IF(OR('Daily Check-In'!A223="",'Daily Check-In'!E223=""),"",'Daily Check-In'!E223)</f>
        <v/>
      </c>
    </row>
    <row r="224" spans="10:13">
      <c r="J224" s="8" t="str">
        <f>IF('Daily Check-In'!A224="","",'Daily Check-In'!A224)</f>
        <v/>
      </c>
      <c r="K224" t="str">
        <f>IF(OR('Daily Check-In'!A224="",'Daily Check-In'!C224=""),"",'Daily Check-In'!C224)</f>
        <v/>
      </c>
      <c r="L224" t="str">
        <f>IF(OR('Daily Check-In'!A224="",'Daily Check-In'!D224=""),"",'Daily Check-In'!D224)</f>
        <v/>
      </c>
      <c r="M224" t="str">
        <f>IF(OR('Daily Check-In'!A224="",'Daily Check-In'!E224=""),"",'Daily Check-In'!E224)</f>
        <v/>
      </c>
    </row>
    <row r="225" spans="10:13">
      <c r="J225" s="8" t="str">
        <f>IF('Daily Check-In'!A225="","",'Daily Check-In'!A225)</f>
        <v/>
      </c>
      <c r="K225" t="str">
        <f>IF(OR('Daily Check-In'!A225="",'Daily Check-In'!C225=""),"",'Daily Check-In'!C225)</f>
        <v/>
      </c>
      <c r="L225" t="str">
        <f>IF(OR('Daily Check-In'!A225="",'Daily Check-In'!D225=""),"",'Daily Check-In'!D225)</f>
        <v/>
      </c>
      <c r="M225" t="str">
        <f>IF(OR('Daily Check-In'!A225="",'Daily Check-In'!E225=""),"",'Daily Check-In'!E225)</f>
        <v/>
      </c>
    </row>
    <row r="226" spans="10:13">
      <c r="J226" s="8" t="str">
        <f>IF('Daily Check-In'!A226="","",'Daily Check-In'!A226)</f>
        <v/>
      </c>
      <c r="K226" t="str">
        <f>IF(OR('Daily Check-In'!A226="",'Daily Check-In'!C226=""),"",'Daily Check-In'!C226)</f>
        <v/>
      </c>
      <c r="L226" t="str">
        <f>IF(OR('Daily Check-In'!A226="",'Daily Check-In'!D226=""),"",'Daily Check-In'!D226)</f>
        <v/>
      </c>
      <c r="M226" t="str">
        <f>IF(OR('Daily Check-In'!A226="",'Daily Check-In'!E226=""),"",'Daily Check-In'!E226)</f>
        <v/>
      </c>
    </row>
    <row r="227" spans="10:13">
      <c r="J227" s="8" t="str">
        <f>IF('Daily Check-In'!A227="","",'Daily Check-In'!A227)</f>
        <v/>
      </c>
      <c r="K227" t="str">
        <f>IF(OR('Daily Check-In'!A227="",'Daily Check-In'!C227=""),"",'Daily Check-In'!C227)</f>
        <v/>
      </c>
      <c r="L227" t="str">
        <f>IF(OR('Daily Check-In'!A227="",'Daily Check-In'!D227=""),"",'Daily Check-In'!D227)</f>
        <v/>
      </c>
      <c r="M227" t="str">
        <f>IF(OR('Daily Check-In'!A227="",'Daily Check-In'!E227=""),"",'Daily Check-In'!E227)</f>
        <v/>
      </c>
    </row>
    <row r="228" spans="10:13">
      <c r="J228" s="8" t="str">
        <f>IF('Daily Check-In'!A228="","",'Daily Check-In'!A228)</f>
        <v/>
      </c>
      <c r="K228" t="str">
        <f>IF(OR('Daily Check-In'!A228="",'Daily Check-In'!C228=""),"",'Daily Check-In'!C228)</f>
        <v/>
      </c>
      <c r="L228" t="str">
        <f>IF(OR('Daily Check-In'!A228="",'Daily Check-In'!D228=""),"",'Daily Check-In'!D228)</f>
        <v/>
      </c>
      <c r="M228" t="str">
        <f>IF(OR('Daily Check-In'!A228="",'Daily Check-In'!E228=""),"",'Daily Check-In'!E228)</f>
        <v/>
      </c>
    </row>
    <row r="229" spans="10:13">
      <c r="J229" s="8" t="str">
        <f>IF('Daily Check-In'!A229="","",'Daily Check-In'!A229)</f>
        <v/>
      </c>
      <c r="K229" t="str">
        <f>IF(OR('Daily Check-In'!A229="",'Daily Check-In'!C229=""),"",'Daily Check-In'!C229)</f>
        <v/>
      </c>
      <c r="L229" t="str">
        <f>IF(OR('Daily Check-In'!A229="",'Daily Check-In'!D229=""),"",'Daily Check-In'!D229)</f>
        <v/>
      </c>
      <c r="M229" t="str">
        <f>IF(OR('Daily Check-In'!A229="",'Daily Check-In'!E229=""),"",'Daily Check-In'!E229)</f>
        <v/>
      </c>
    </row>
    <row r="230" spans="10:13">
      <c r="J230" s="8" t="str">
        <f>IF('Daily Check-In'!A230="","",'Daily Check-In'!A230)</f>
        <v/>
      </c>
      <c r="K230" t="str">
        <f>IF(OR('Daily Check-In'!A230="",'Daily Check-In'!C230=""),"",'Daily Check-In'!C230)</f>
        <v/>
      </c>
      <c r="L230" t="str">
        <f>IF(OR('Daily Check-In'!A230="",'Daily Check-In'!D230=""),"",'Daily Check-In'!D230)</f>
        <v/>
      </c>
      <c r="M230" t="str">
        <f>IF(OR('Daily Check-In'!A230="",'Daily Check-In'!E230=""),"",'Daily Check-In'!E230)</f>
        <v/>
      </c>
    </row>
    <row r="231" spans="10:13">
      <c r="J231" s="8" t="str">
        <f>IF('Daily Check-In'!A231="","",'Daily Check-In'!A231)</f>
        <v/>
      </c>
      <c r="K231" t="str">
        <f>IF(OR('Daily Check-In'!A231="",'Daily Check-In'!C231=""),"",'Daily Check-In'!C231)</f>
        <v/>
      </c>
      <c r="L231" t="str">
        <f>IF(OR('Daily Check-In'!A231="",'Daily Check-In'!D231=""),"",'Daily Check-In'!D231)</f>
        <v/>
      </c>
      <c r="M231" t="str">
        <f>IF(OR('Daily Check-In'!A231="",'Daily Check-In'!E231=""),"",'Daily Check-In'!E231)</f>
        <v/>
      </c>
    </row>
    <row r="232" spans="10:13">
      <c r="J232" s="8" t="str">
        <f>IF('Daily Check-In'!A232="","",'Daily Check-In'!A232)</f>
        <v/>
      </c>
      <c r="K232" t="str">
        <f>IF(OR('Daily Check-In'!A232="",'Daily Check-In'!C232=""),"",'Daily Check-In'!C232)</f>
        <v/>
      </c>
      <c r="L232" t="str">
        <f>IF(OR('Daily Check-In'!A232="",'Daily Check-In'!D232=""),"",'Daily Check-In'!D232)</f>
        <v/>
      </c>
      <c r="M232" t="str">
        <f>IF(OR('Daily Check-In'!A232="",'Daily Check-In'!E232=""),"",'Daily Check-In'!E232)</f>
        <v/>
      </c>
    </row>
    <row r="233" spans="10:13">
      <c r="J233" s="8" t="str">
        <f>IF('Daily Check-In'!A233="","",'Daily Check-In'!A233)</f>
        <v/>
      </c>
      <c r="K233" t="str">
        <f>IF(OR('Daily Check-In'!A233="",'Daily Check-In'!C233=""),"",'Daily Check-In'!C233)</f>
        <v/>
      </c>
      <c r="L233" t="str">
        <f>IF(OR('Daily Check-In'!A233="",'Daily Check-In'!D233=""),"",'Daily Check-In'!D233)</f>
        <v/>
      </c>
      <c r="M233" t="str">
        <f>IF(OR('Daily Check-In'!A233="",'Daily Check-In'!E233=""),"",'Daily Check-In'!E233)</f>
        <v/>
      </c>
    </row>
    <row r="234" spans="10:13">
      <c r="J234" s="8" t="str">
        <f>IF('Daily Check-In'!A234="","",'Daily Check-In'!A234)</f>
        <v/>
      </c>
      <c r="K234" t="str">
        <f>IF(OR('Daily Check-In'!A234="",'Daily Check-In'!C234=""),"",'Daily Check-In'!C234)</f>
        <v/>
      </c>
      <c r="L234" t="str">
        <f>IF(OR('Daily Check-In'!A234="",'Daily Check-In'!D234=""),"",'Daily Check-In'!D234)</f>
        <v/>
      </c>
      <c r="M234" t="str">
        <f>IF(OR('Daily Check-In'!A234="",'Daily Check-In'!E234=""),"",'Daily Check-In'!E234)</f>
        <v/>
      </c>
    </row>
    <row r="235" spans="10:13">
      <c r="J235" s="8" t="str">
        <f>IF('Daily Check-In'!A235="","",'Daily Check-In'!A235)</f>
        <v/>
      </c>
      <c r="K235" t="str">
        <f>IF(OR('Daily Check-In'!A235="",'Daily Check-In'!C235=""),"",'Daily Check-In'!C235)</f>
        <v/>
      </c>
      <c r="L235" t="str">
        <f>IF(OR('Daily Check-In'!A235="",'Daily Check-In'!D235=""),"",'Daily Check-In'!D235)</f>
        <v/>
      </c>
      <c r="M235" t="str">
        <f>IF(OR('Daily Check-In'!A235="",'Daily Check-In'!E235=""),"",'Daily Check-In'!E235)</f>
        <v/>
      </c>
    </row>
    <row r="236" spans="10:13">
      <c r="J236" s="8" t="str">
        <f>IF('Daily Check-In'!A236="","",'Daily Check-In'!A236)</f>
        <v/>
      </c>
      <c r="K236" t="str">
        <f>IF(OR('Daily Check-In'!A236="",'Daily Check-In'!C236=""),"",'Daily Check-In'!C236)</f>
        <v/>
      </c>
      <c r="L236" t="str">
        <f>IF(OR('Daily Check-In'!A236="",'Daily Check-In'!D236=""),"",'Daily Check-In'!D236)</f>
        <v/>
      </c>
      <c r="M236" t="str">
        <f>IF(OR('Daily Check-In'!A236="",'Daily Check-In'!E236=""),"",'Daily Check-In'!E236)</f>
        <v/>
      </c>
    </row>
    <row r="237" spans="10:13">
      <c r="J237" s="8" t="str">
        <f>IF('Daily Check-In'!A237="","",'Daily Check-In'!A237)</f>
        <v/>
      </c>
      <c r="K237" t="str">
        <f>IF(OR('Daily Check-In'!A237="",'Daily Check-In'!C237=""),"",'Daily Check-In'!C237)</f>
        <v/>
      </c>
      <c r="L237" t="str">
        <f>IF(OR('Daily Check-In'!A237="",'Daily Check-In'!D237=""),"",'Daily Check-In'!D237)</f>
        <v/>
      </c>
      <c r="M237" t="str">
        <f>IF(OR('Daily Check-In'!A237="",'Daily Check-In'!E237=""),"",'Daily Check-In'!E237)</f>
        <v/>
      </c>
    </row>
    <row r="238" spans="10:13">
      <c r="J238" s="8" t="str">
        <f>IF('Daily Check-In'!A238="","",'Daily Check-In'!A238)</f>
        <v/>
      </c>
      <c r="K238" t="str">
        <f>IF(OR('Daily Check-In'!A238="",'Daily Check-In'!C238=""),"",'Daily Check-In'!C238)</f>
        <v/>
      </c>
      <c r="L238" t="str">
        <f>IF(OR('Daily Check-In'!A238="",'Daily Check-In'!D238=""),"",'Daily Check-In'!D238)</f>
        <v/>
      </c>
      <c r="M238" t="str">
        <f>IF(OR('Daily Check-In'!A238="",'Daily Check-In'!E238=""),"",'Daily Check-In'!E238)</f>
        <v/>
      </c>
    </row>
    <row r="239" spans="10:13">
      <c r="J239" s="8" t="str">
        <f>IF('Daily Check-In'!A239="","",'Daily Check-In'!A239)</f>
        <v/>
      </c>
      <c r="K239" t="str">
        <f>IF(OR('Daily Check-In'!A239="",'Daily Check-In'!C239=""),"",'Daily Check-In'!C239)</f>
        <v/>
      </c>
      <c r="L239" t="str">
        <f>IF(OR('Daily Check-In'!A239="",'Daily Check-In'!D239=""),"",'Daily Check-In'!D239)</f>
        <v/>
      </c>
      <c r="M239" t="str">
        <f>IF(OR('Daily Check-In'!A239="",'Daily Check-In'!E239=""),"",'Daily Check-In'!E239)</f>
        <v/>
      </c>
    </row>
    <row r="240" spans="10:13">
      <c r="J240" s="8" t="str">
        <f>IF('Daily Check-In'!A240="","",'Daily Check-In'!A240)</f>
        <v/>
      </c>
      <c r="K240" t="str">
        <f>IF(OR('Daily Check-In'!A240="",'Daily Check-In'!C240=""),"",'Daily Check-In'!C240)</f>
        <v/>
      </c>
      <c r="L240" t="str">
        <f>IF(OR('Daily Check-In'!A240="",'Daily Check-In'!D240=""),"",'Daily Check-In'!D240)</f>
        <v/>
      </c>
      <c r="M240" t="str">
        <f>IF(OR('Daily Check-In'!A240="",'Daily Check-In'!E240=""),"",'Daily Check-In'!E240)</f>
        <v/>
      </c>
    </row>
    <row r="241" spans="10:13">
      <c r="J241" s="8" t="str">
        <f>IF('Daily Check-In'!A241="","",'Daily Check-In'!A241)</f>
        <v/>
      </c>
      <c r="K241" t="str">
        <f>IF(OR('Daily Check-In'!A241="",'Daily Check-In'!C241=""),"",'Daily Check-In'!C241)</f>
        <v/>
      </c>
      <c r="L241" t="str">
        <f>IF(OR('Daily Check-In'!A241="",'Daily Check-In'!D241=""),"",'Daily Check-In'!D241)</f>
        <v/>
      </c>
      <c r="M241" t="str">
        <f>IF(OR('Daily Check-In'!A241="",'Daily Check-In'!E241=""),"",'Daily Check-In'!E241)</f>
        <v/>
      </c>
    </row>
    <row r="242" spans="10:13">
      <c r="J242" s="8" t="str">
        <f>IF('Daily Check-In'!A242="","",'Daily Check-In'!A242)</f>
        <v/>
      </c>
      <c r="K242" t="str">
        <f>IF(OR('Daily Check-In'!A242="",'Daily Check-In'!C242=""),"",'Daily Check-In'!C242)</f>
        <v/>
      </c>
      <c r="L242" t="str">
        <f>IF(OR('Daily Check-In'!A242="",'Daily Check-In'!D242=""),"",'Daily Check-In'!D242)</f>
        <v/>
      </c>
      <c r="M242" t="str">
        <f>IF(OR('Daily Check-In'!A242="",'Daily Check-In'!E242=""),"",'Daily Check-In'!E242)</f>
        <v/>
      </c>
    </row>
    <row r="243" spans="10:13">
      <c r="J243" s="8" t="str">
        <f>IF('Daily Check-In'!A243="","",'Daily Check-In'!A243)</f>
        <v/>
      </c>
      <c r="K243" t="str">
        <f>IF(OR('Daily Check-In'!A243="",'Daily Check-In'!C243=""),"",'Daily Check-In'!C243)</f>
        <v/>
      </c>
      <c r="L243" t="str">
        <f>IF(OR('Daily Check-In'!A243="",'Daily Check-In'!D243=""),"",'Daily Check-In'!D243)</f>
        <v/>
      </c>
      <c r="M243" t="str">
        <f>IF(OR('Daily Check-In'!A243="",'Daily Check-In'!E243=""),"",'Daily Check-In'!E243)</f>
        <v/>
      </c>
    </row>
    <row r="244" spans="10:13">
      <c r="J244" s="8" t="str">
        <f>IF('Daily Check-In'!A244="","",'Daily Check-In'!A244)</f>
        <v/>
      </c>
      <c r="K244" t="str">
        <f>IF(OR('Daily Check-In'!A244="",'Daily Check-In'!C244=""),"",'Daily Check-In'!C244)</f>
        <v/>
      </c>
      <c r="L244" t="str">
        <f>IF(OR('Daily Check-In'!A244="",'Daily Check-In'!D244=""),"",'Daily Check-In'!D244)</f>
        <v/>
      </c>
      <c r="M244" t="str">
        <f>IF(OR('Daily Check-In'!A244="",'Daily Check-In'!E244=""),"",'Daily Check-In'!E244)</f>
        <v/>
      </c>
    </row>
    <row r="245" spans="10:13">
      <c r="J245" s="8" t="str">
        <f>IF('Daily Check-In'!A245="","",'Daily Check-In'!A245)</f>
        <v/>
      </c>
      <c r="K245" t="str">
        <f>IF(OR('Daily Check-In'!A245="",'Daily Check-In'!C245=""),"",'Daily Check-In'!C245)</f>
        <v/>
      </c>
      <c r="L245" t="str">
        <f>IF(OR('Daily Check-In'!A245="",'Daily Check-In'!D245=""),"",'Daily Check-In'!D245)</f>
        <v/>
      </c>
      <c r="M245" t="str">
        <f>IF(OR('Daily Check-In'!A245="",'Daily Check-In'!E245=""),"",'Daily Check-In'!E245)</f>
        <v/>
      </c>
    </row>
    <row r="246" spans="10:13">
      <c r="J246" s="8" t="str">
        <f>IF('Daily Check-In'!A246="","",'Daily Check-In'!A246)</f>
        <v/>
      </c>
      <c r="K246" t="str">
        <f>IF(OR('Daily Check-In'!A246="",'Daily Check-In'!C246=""),"",'Daily Check-In'!C246)</f>
        <v/>
      </c>
      <c r="L246" t="str">
        <f>IF(OR('Daily Check-In'!A246="",'Daily Check-In'!D246=""),"",'Daily Check-In'!D246)</f>
        <v/>
      </c>
      <c r="M246" t="str">
        <f>IF(OR('Daily Check-In'!A246="",'Daily Check-In'!E246=""),"",'Daily Check-In'!E246)</f>
        <v/>
      </c>
    </row>
    <row r="247" spans="10:13">
      <c r="J247" s="8" t="str">
        <f>IF('Daily Check-In'!A247="","",'Daily Check-In'!A247)</f>
        <v/>
      </c>
      <c r="K247" t="str">
        <f>IF(OR('Daily Check-In'!A247="",'Daily Check-In'!C247=""),"",'Daily Check-In'!C247)</f>
        <v/>
      </c>
      <c r="L247" t="str">
        <f>IF(OR('Daily Check-In'!A247="",'Daily Check-In'!D247=""),"",'Daily Check-In'!D247)</f>
        <v/>
      </c>
      <c r="M247" t="str">
        <f>IF(OR('Daily Check-In'!A247="",'Daily Check-In'!E247=""),"",'Daily Check-In'!E247)</f>
        <v/>
      </c>
    </row>
    <row r="248" spans="10:13">
      <c r="J248" s="8" t="str">
        <f>IF('Daily Check-In'!A248="","",'Daily Check-In'!A248)</f>
        <v/>
      </c>
      <c r="K248" t="str">
        <f>IF(OR('Daily Check-In'!A248="",'Daily Check-In'!C248=""),"",'Daily Check-In'!C248)</f>
        <v/>
      </c>
      <c r="L248" t="str">
        <f>IF(OR('Daily Check-In'!A248="",'Daily Check-In'!D248=""),"",'Daily Check-In'!D248)</f>
        <v/>
      </c>
      <c r="M248" t="str">
        <f>IF(OR('Daily Check-In'!A248="",'Daily Check-In'!E248=""),"",'Daily Check-In'!E248)</f>
        <v/>
      </c>
    </row>
    <row r="249" spans="10:13">
      <c r="J249" s="8" t="str">
        <f>IF('Daily Check-In'!A249="","",'Daily Check-In'!A249)</f>
        <v/>
      </c>
      <c r="K249" t="str">
        <f>IF(OR('Daily Check-In'!A249="",'Daily Check-In'!C249=""),"",'Daily Check-In'!C249)</f>
        <v/>
      </c>
      <c r="L249" t="str">
        <f>IF(OR('Daily Check-In'!A249="",'Daily Check-In'!D249=""),"",'Daily Check-In'!D249)</f>
        <v/>
      </c>
      <c r="M249" t="str">
        <f>IF(OR('Daily Check-In'!A249="",'Daily Check-In'!E249=""),"",'Daily Check-In'!E249)</f>
        <v/>
      </c>
    </row>
    <row r="250" spans="10:13">
      <c r="J250" s="8" t="str">
        <f>IF('Daily Check-In'!A250="","",'Daily Check-In'!A250)</f>
        <v/>
      </c>
      <c r="K250" t="str">
        <f>IF(OR('Daily Check-In'!A250="",'Daily Check-In'!C250=""),"",'Daily Check-In'!C250)</f>
        <v/>
      </c>
      <c r="L250" t="str">
        <f>IF(OR('Daily Check-In'!A250="",'Daily Check-In'!D250=""),"",'Daily Check-In'!D250)</f>
        <v/>
      </c>
      <c r="M250" t="str">
        <f>IF(OR('Daily Check-In'!A250="",'Daily Check-In'!E250=""),"",'Daily Check-In'!E250)</f>
        <v/>
      </c>
    </row>
    <row r="251" spans="10:13">
      <c r="J251" s="8" t="str">
        <f>IF('Daily Check-In'!A251="","",'Daily Check-In'!A251)</f>
        <v/>
      </c>
      <c r="K251" t="str">
        <f>IF(OR('Daily Check-In'!A251="",'Daily Check-In'!C251=""),"",'Daily Check-In'!C251)</f>
        <v/>
      </c>
      <c r="L251" t="str">
        <f>IF(OR('Daily Check-In'!A251="",'Daily Check-In'!D251=""),"",'Daily Check-In'!D251)</f>
        <v/>
      </c>
      <c r="M251" t="str">
        <f>IF(OR('Daily Check-In'!A251="",'Daily Check-In'!E251=""),"",'Daily Check-In'!E251)</f>
        <v/>
      </c>
    </row>
    <row r="252" spans="10:13">
      <c r="J252" s="8" t="str">
        <f>IF('Daily Check-In'!A252="","",'Daily Check-In'!A252)</f>
        <v/>
      </c>
      <c r="K252" t="str">
        <f>IF(OR('Daily Check-In'!A252="",'Daily Check-In'!C252=""),"",'Daily Check-In'!C252)</f>
        <v/>
      </c>
      <c r="L252" t="str">
        <f>IF(OR('Daily Check-In'!A252="",'Daily Check-In'!D252=""),"",'Daily Check-In'!D252)</f>
        <v/>
      </c>
      <c r="M252" t="str">
        <f>IF(OR('Daily Check-In'!A252="",'Daily Check-In'!E252=""),"",'Daily Check-In'!E252)</f>
        <v/>
      </c>
    </row>
    <row r="253" spans="10:13">
      <c r="J253" s="8" t="str">
        <f>IF('Daily Check-In'!A253="","",'Daily Check-In'!A253)</f>
        <v/>
      </c>
      <c r="K253" t="str">
        <f>IF(OR('Daily Check-In'!A253="",'Daily Check-In'!C253=""),"",'Daily Check-In'!C253)</f>
        <v/>
      </c>
      <c r="L253" t="str">
        <f>IF(OR('Daily Check-In'!A253="",'Daily Check-In'!D253=""),"",'Daily Check-In'!D253)</f>
        <v/>
      </c>
      <c r="M253" t="str">
        <f>IF(OR('Daily Check-In'!A253="",'Daily Check-In'!E253=""),"",'Daily Check-In'!E253)</f>
        <v/>
      </c>
    </row>
    <row r="254" spans="10:13">
      <c r="J254" s="8" t="str">
        <f>IF('Daily Check-In'!A254="","",'Daily Check-In'!A254)</f>
        <v/>
      </c>
      <c r="K254" t="str">
        <f>IF(OR('Daily Check-In'!A254="",'Daily Check-In'!C254=""),"",'Daily Check-In'!C254)</f>
        <v/>
      </c>
      <c r="L254" t="str">
        <f>IF(OR('Daily Check-In'!A254="",'Daily Check-In'!D254=""),"",'Daily Check-In'!D254)</f>
        <v/>
      </c>
      <c r="M254" t="str">
        <f>IF(OR('Daily Check-In'!A254="",'Daily Check-In'!E254=""),"",'Daily Check-In'!E254)</f>
        <v/>
      </c>
    </row>
    <row r="255" spans="10:13">
      <c r="J255" s="8" t="str">
        <f>IF('Daily Check-In'!A255="","",'Daily Check-In'!A255)</f>
        <v/>
      </c>
      <c r="K255" t="str">
        <f>IF(OR('Daily Check-In'!A255="",'Daily Check-In'!C255=""),"",'Daily Check-In'!C255)</f>
        <v/>
      </c>
      <c r="L255" t="str">
        <f>IF(OR('Daily Check-In'!A255="",'Daily Check-In'!D255=""),"",'Daily Check-In'!D255)</f>
        <v/>
      </c>
      <c r="M255" t="str">
        <f>IF(OR('Daily Check-In'!A255="",'Daily Check-In'!E255=""),"",'Daily Check-In'!E255)</f>
        <v/>
      </c>
    </row>
    <row r="256" spans="10:13">
      <c r="J256" s="8" t="str">
        <f>IF('Daily Check-In'!A256="","",'Daily Check-In'!A256)</f>
        <v/>
      </c>
      <c r="K256" t="str">
        <f>IF(OR('Daily Check-In'!A256="",'Daily Check-In'!C256=""),"",'Daily Check-In'!C256)</f>
        <v/>
      </c>
      <c r="L256" t="str">
        <f>IF(OR('Daily Check-In'!A256="",'Daily Check-In'!D256=""),"",'Daily Check-In'!D256)</f>
        <v/>
      </c>
      <c r="M256" t="str">
        <f>IF(OR('Daily Check-In'!A256="",'Daily Check-In'!E256=""),"",'Daily Check-In'!E256)</f>
        <v/>
      </c>
    </row>
    <row r="257" spans="10:13">
      <c r="J257" s="8" t="str">
        <f>IF('Daily Check-In'!A257="","",'Daily Check-In'!A257)</f>
        <v/>
      </c>
      <c r="K257" t="str">
        <f>IF(OR('Daily Check-In'!A257="",'Daily Check-In'!C257=""),"",'Daily Check-In'!C257)</f>
        <v/>
      </c>
      <c r="L257" t="str">
        <f>IF(OR('Daily Check-In'!A257="",'Daily Check-In'!D257=""),"",'Daily Check-In'!D257)</f>
        <v/>
      </c>
      <c r="M257" t="str">
        <f>IF(OR('Daily Check-In'!A257="",'Daily Check-In'!E257=""),"",'Daily Check-In'!E257)</f>
        <v/>
      </c>
    </row>
    <row r="258" spans="10:13">
      <c r="J258" s="8" t="str">
        <f>IF('Daily Check-In'!A258="","",'Daily Check-In'!A258)</f>
        <v/>
      </c>
      <c r="K258" t="str">
        <f>IF(OR('Daily Check-In'!A258="",'Daily Check-In'!C258=""),"",'Daily Check-In'!C258)</f>
        <v/>
      </c>
      <c r="L258" t="str">
        <f>IF(OR('Daily Check-In'!A258="",'Daily Check-In'!D258=""),"",'Daily Check-In'!D258)</f>
        <v/>
      </c>
      <c r="M258" t="str">
        <f>IF(OR('Daily Check-In'!A258="",'Daily Check-In'!E258=""),"",'Daily Check-In'!E258)</f>
        <v/>
      </c>
    </row>
    <row r="259" spans="10:13">
      <c r="J259" s="8" t="str">
        <f>IF('Daily Check-In'!A259="","",'Daily Check-In'!A259)</f>
        <v/>
      </c>
      <c r="K259" t="str">
        <f>IF(OR('Daily Check-In'!A259="",'Daily Check-In'!C259=""),"",'Daily Check-In'!C259)</f>
        <v/>
      </c>
      <c r="L259" t="str">
        <f>IF(OR('Daily Check-In'!A259="",'Daily Check-In'!D259=""),"",'Daily Check-In'!D259)</f>
        <v/>
      </c>
      <c r="M259" t="str">
        <f>IF(OR('Daily Check-In'!A259="",'Daily Check-In'!E259=""),"",'Daily Check-In'!E259)</f>
        <v/>
      </c>
    </row>
    <row r="260" spans="10:13">
      <c r="J260" s="8" t="str">
        <f>IF('Daily Check-In'!A260="","",'Daily Check-In'!A260)</f>
        <v/>
      </c>
      <c r="K260" t="str">
        <f>IF(OR('Daily Check-In'!A260="",'Daily Check-In'!C260=""),"",'Daily Check-In'!C260)</f>
        <v/>
      </c>
      <c r="L260" t="str">
        <f>IF(OR('Daily Check-In'!A260="",'Daily Check-In'!D260=""),"",'Daily Check-In'!D260)</f>
        <v/>
      </c>
      <c r="M260" t="str">
        <f>IF(OR('Daily Check-In'!A260="",'Daily Check-In'!E260=""),"",'Daily Check-In'!E260)</f>
        <v/>
      </c>
    </row>
    <row r="261" spans="10:13">
      <c r="J261" s="8" t="str">
        <f>IF('Daily Check-In'!A261="","",'Daily Check-In'!A261)</f>
        <v/>
      </c>
      <c r="K261" t="str">
        <f>IF(OR('Daily Check-In'!A261="",'Daily Check-In'!C261=""),"",'Daily Check-In'!C261)</f>
        <v/>
      </c>
      <c r="L261" t="str">
        <f>IF(OR('Daily Check-In'!A261="",'Daily Check-In'!D261=""),"",'Daily Check-In'!D261)</f>
        <v/>
      </c>
      <c r="M261" t="str">
        <f>IF(OR('Daily Check-In'!A261="",'Daily Check-In'!E261=""),"",'Daily Check-In'!E261)</f>
        <v/>
      </c>
    </row>
    <row r="262" spans="10:13">
      <c r="J262" s="8" t="str">
        <f>IF('Daily Check-In'!A262="","",'Daily Check-In'!A262)</f>
        <v/>
      </c>
      <c r="K262" t="str">
        <f>IF(OR('Daily Check-In'!A262="",'Daily Check-In'!C262=""),"",'Daily Check-In'!C262)</f>
        <v/>
      </c>
      <c r="L262" t="str">
        <f>IF(OR('Daily Check-In'!A262="",'Daily Check-In'!D262=""),"",'Daily Check-In'!D262)</f>
        <v/>
      </c>
      <c r="M262" t="str">
        <f>IF(OR('Daily Check-In'!A262="",'Daily Check-In'!E262=""),"",'Daily Check-In'!E262)</f>
        <v/>
      </c>
    </row>
    <row r="263" spans="10:13">
      <c r="J263" s="8" t="str">
        <f>IF('Daily Check-In'!A263="","",'Daily Check-In'!A263)</f>
        <v/>
      </c>
      <c r="K263" t="str">
        <f>IF(OR('Daily Check-In'!A263="",'Daily Check-In'!C263=""),"",'Daily Check-In'!C263)</f>
        <v/>
      </c>
      <c r="L263" t="str">
        <f>IF(OR('Daily Check-In'!A263="",'Daily Check-In'!D263=""),"",'Daily Check-In'!D263)</f>
        <v/>
      </c>
      <c r="M263" t="str">
        <f>IF(OR('Daily Check-In'!A263="",'Daily Check-In'!E263=""),"",'Daily Check-In'!E263)</f>
        <v/>
      </c>
    </row>
    <row r="264" spans="10:13">
      <c r="J264" s="8" t="str">
        <f>IF('Daily Check-In'!A264="","",'Daily Check-In'!A264)</f>
        <v/>
      </c>
      <c r="K264" t="str">
        <f>IF(OR('Daily Check-In'!A264="",'Daily Check-In'!C264=""),"",'Daily Check-In'!C264)</f>
        <v/>
      </c>
      <c r="L264" t="str">
        <f>IF(OR('Daily Check-In'!A264="",'Daily Check-In'!D264=""),"",'Daily Check-In'!D264)</f>
        <v/>
      </c>
      <c r="M264" t="str">
        <f>IF(OR('Daily Check-In'!A264="",'Daily Check-In'!E264=""),"",'Daily Check-In'!E264)</f>
        <v/>
      </c>
    </row>
    <row r="265" spans="10:13">
      <c r="J265" s="8" t="str">
        <f>IF('Daily Check-In'!A265="","",'Daily Check-In'!A265)</f>
        <v/>
      </c>
      <c r="K265" t="str">
        <f>IF(OR('Daily Check-In'!A265="",'Daily Check-In'!C265=""),"",'Daily Check-In'!C265)</f>
        <v/>
      </c>
      <c r="L265" t="str">
        <f>IF(OR('Daily Check-In'!A265="",'Daily Check-In'!D265=""),"",'Daily Check-In'!D265)</f>
        <v/>
      </c>
      <c r="M265" t="str">
        <f>IF(OR('Daily Check-In'!A265="",'Daily Check-In'!E265=""),"",'Daily Check-In'!E265)</f>
        <v/>
      </c>
    </row>
    <row r="266" spans="10:13">
      <c r="J266" s="8" t="str">
        <f>IF('Daily Check-In'!A266="","",'Daily Check-In'!A266)</f>
        <v/>
      </c>
      <c r="K266" t="str">
        <f>IF(OR('Daily Check-In'!A266="",'Daily Check-In'!C266=""),"",'Daily Check-In'!C266)</f>
        <v/>
      </c>
      <c r="L266" t="str">
        <f>IF(OR('Daily Check-In'!A266="",'Daily Check-In'!D266=""),"",'Daily Check-In'!D266)</f>
        <v/>
      </c>
      <c r="M266" t="str">
        <f>IF(OR('Daily Check-In'!A266="",'Daily Check-In'!E266=""),"",'Daily Check-In'!E266)</f>
        <v/>
      </c>
    </row>
    <row r="267" spans="10:13">
      <c r="J267" s="8" t="str">
        <f>IF('Daily Check-In'!A267="","",'Daily Check-In'!A267)</f>
        <v/>
      </c>
      <c r="K267" t="str">
        <f>IF(OR('Daily Check-In'!A267="",'Daily Check-In'!C267=""),"",'Daily Check-In'!C267)</f>
        <v/>
      </c>
      <c r="L267" t="str">
        <f>IF(OR('Daily Check-In'!A267="",'Daily Check-In'!D267=""),"",'Daily Check-In'!D267)</f>
        <v/>
      </c>
      <c r="M267" t="str">
        <f>IF(OR('Daily Check-In'!A267="",'Daily Check-In'!E267=""),"",'Daily Check-In'!E267)</f>
        <v/>
      </c>
    </row>
    <row r="268" spans="10:13">
      <c r="J268" s="8" t="str">
        <f>IF('Daily Check-In'!A268="","",'Daily Check-In'!A268)</f>
        <v/>
      </c>
      <c r="K268" t="str">
        <f>IF(OR('Daily Check-In'!A268="",'Daily Check-In'!C268=""),"",'Daily Check-In'!C268)</f>
        <v/>
      </c>
      <c r="L268" t="str">
        <f>IF(OR('Daily Check-In'!A268="",'Daily Check-In'!D268=""),"",'Daily Check-In'!D268)</f>
        <v/>
      </c>
      <c r="M268" t="str">
        <f>IF(OR('Daily Check-In'!A268="",'Daily Check-In'!E268=""),"",'Daily Check-In'!E268)</f>
        <v/>
      </c>
    </row>
    <row r="269" spans="10:13">
      <c r="J269" s="8" t="str">
        <f>IF('Daily Check-In'!A269="","",'Daily Check-In'!A269)</f>
        <v/>
      </c>
      <c r="K269" t="str">
        <f>IF(OR('Daily Check-In'!A269="",'Daily Check-In'!C269=""),"",'Daily Check-In'!C269)</f>
        <v/>
      </c>
      <c r="L269" t="str">
        <f>IF(OR('Daily Check-In'!A269="",'Daily Check-In'!D269=""),"",'Daily Check-In'!D269)</f>
        <v/>
      </c>
      <c r="M269" t="str">
        <f>IF(OR('Daily Check-In'!A269="",'Daily Check-In'!E269=""),"",'Daily Check-In'!E269)</f>
        <v/>
      </c>
    </row>
    <row r="270" spans="10:13">
      <c r="J270" s="8" t="str">
        <f>IF('Daily Check-In'!A270="","",'Daily Check-In'!A270)</f>
        <v/>
      </c>
      <c r="K270" t="str">
        <f>IF(OR('Daily Check-In'!A270="",'Daily Check-In'!C270=""),"",'Daily Check-In'!C270)</f>
        <v/>
      </c>
      <c r="L270" t="str">
        <f>IF(OR('Daily Check-In'!A270="",'Daily Check-In'!D270=""),"",'Daily Check-In'!D270)</f>
        <v/>
      </c>
      <c r="M270" t="str">
        <f>IF(OR('Daily Check-In'!A270="",'Daily Check-In'!E270=""),"",'Daily Check-In'!E270)</f>
        <v/>
      </c>
    </row>
    <row r="271" spans="10:13">
      <c r="J271" s="8" t="str">
        <f>IF('Daily Check-In'!A271="","",'Daily Check-In'!A271)</f>
        <v/>
      </c>
      <c r="K271" t="str">
        <f>IF(OR('Daily Check-In'!A271="",'Daily Check-In'!C271=""),"",'Daily Check-In'!C271)</f>
        <v/>
      </c>
      <c r="L271" t="str">
        <f>IF(OR('Daily Check-In'!A271="",'Daily Check-In'!D271=""),"",'Daily Check-In'!D271)</f>
        <v/>
      </c>
      <c r="M271" t="str">
        <f>IF(OR('Daily Check-In'!A271="",'Daily Check-In'!E271=""),"",'Daily Check-In'!E271)</f>
        <v/>
      </c>
    </row>
    <row r="272" spans="10:13">
      <c r="J272" s="8" t="str">
        <f>IF('Daily Check-In'!A272="","",'Daily Check-In'!A272)</f>
        <v/>
      </c>
      <c r="K272" t="str">
        <f>IF(OR('Daily Check-In'!A272="",'Daily Check-In'!C272=""),"",'Daily Check-In'!C272)</f>
        <v/>
      </c>
      <c r="L272" t="str">
        <f>IF(OR('Daily Check-In'!A272="",'Daily Check-In'!D272=""),"",'Daily Check-In'!D272)</f>
        <v/>
      </c>
      <c r="M272" t="str">
        <f>IF(OR('Daily Check-In'!A272="",'Daily Check-In'!E272=""),"",'Daily Check-In'!E272)</f>
        <v/>
      </c>
    </row>
    <row r="273" spans="10:13">
      <c r="J273" s="8" t="str">
        <f>IF('Daily Check-In'!A273="","",'Daily Check-In'!A273)</f>
        <v/>
      </c>
      <c r="K273" t="str">
        <f>IF(OR('Daily Check-In'!A273="",'Daily Check-In'!C273=""),"",'Daily Check-In'!C273)</f>
        <v/>
      </c>
      <c r="L273" t="str">
        <f>IF(OR('Daily Check-In'!A273="",'Daily Check-In'!D273=""),"",'Daily Check-In'!D273)</f>
        <v/>
      </c>
      <c r="M273" t="str">
        <f>IF(OR('Daily Check-In'!A273="",'Daily Check-In'!E273=""),"",'Daily Check-In'!E273)</f>
        <v/>
      </c>
    </row>
    <row r="274" spans="10:13">
      <c r="J274" s="8" t="str">
        <f>IF('Daily Check-In'!A274="","",'Daily Check-In'!A274)</f>
        <v/>
      </c>
      <c r="K274" t="str">
        <f>IF(OR('Daily Check-In'!A274="",'Daily Check-In'!C274=""),"",'Daily Check-In'!C274)</f>
        <v/>
      </c>
      <c r="L274" t="str">
        <f>IF(OR('Daily Check-In'!A274="",'Daily Check-In'!D274=""),"",'Daily Check-In'!D274)</f>
        <v/>
      </c>
      <c r="M274" t="str">
        <f>IF(OR('Daily Check-In'!A274="",'Daily Check-In'!E274=""),"",'Daily Check-In'!E274)</f>
        <v/>
      </c>
    </row>
    <row r="275" spans="10:13">
      <c r="J275" s="8" t="str">
        <f>IF('Daily Check-In'!A275="","",'Daily Check-In'!A275)</f>
        <v/>
      </c>
      <c r="K275" t="str">
        <f>IF(OR('Daily Check-In'!A275="",'Daily Check-In'!C275=""),"",'Daily Check-In'!C275)</f>
        <v/>
      </c>
      <c r="L275" t="str">
        <f>IF(OR('Daily Check-In'!A275="",'Daily Check-In'!D275=""),"",'Daily Check-In'!D275)</f>
        <v/>
      </c>
      <c r="M275" t="str">
        <f>IF(OR('Daily Check-In'!A275="",'Daily Check-In'!E275=""),"",'Daily Check-In'!E275)</f>
        <v/>
      </c>
    </row>
    <row r="276" spans="10:13">
      <c r="J276" s="8" t="str">
        <f>IF('Daily Check-In'!A276="","",'Daily Check-In'!A276)</f>
        <v/>
      </c>
      <c r="K276" t="str">
        <f>IF(OR('Daily Check-In'!A276="",'Daily Check-In'!C276=""),"",'Daily Check-In'!C276)</f>
        <v/>
      </c>
      <c r="L276" t="str">
        <f>IF(OR('Daily Check-In'!A276="",'Daily Check-In'!D276=""),"",'Daily Check-In'!D276)</f>
        <v/>
      </c>
      <c r="M276" t="str">
        <f>IF(OR('Daily Check-In'!A276="",'Daily Check-In'!E276=""),"",'Daily Check-In'!E276)</f>
        <v/>
      </c>
    </row>
    <row r="277" spans="10:13">
      <c r="J277" s="8" t="str">
        <f>IF('Daily Check-In'!A277="","",'Daily Check-In'!A277)</f>
        <v/>
      </c>
      <c r="K277" t="str">
        <f>IF(OR('Daily Check-In'!A277="",'Daily Check-In'!C277=""),"",'Daily Check-In'!C277)</f>
        <v/>
      </c>
      <c r="L277" t="str">
        <f>IF(OR('Daily Check-In'!A277="",'Daily Check-In'!D277=""),"",'Daily Check-In'!D277)</f>
        <v/>
      </c>
      <c r="M277" t="str">
        <f>IF(OR('Daily Check-In'!A277="",'Daily Check-In'!E277=""),"",'Daily Check-In'!E277)</f>
        <v/>
      </c>
    </row>
    <row r="278" spans="10:13">
      <c r="J278" s="8" t="str">
        <f>IF('Daily Check-In'!A278="","",'Daily Check-In'!A278)</f>
        <v/>
      </c>
      <c r="K278" t="str">
        <f>IF(OR('Daily Check-In'!A278="",'Daily Check-In'!C278=""),"",'Daily Check-In'!C278)</f>
        <v/>
      </c>
      <c r="L278" t="str">
        <f>IF(OR('Daily Check-In'!A278="",'Daily Check-In'!D278=""),"",'Daily Check-In'!D278)</f>
        <v/>
      </c>
      <c r="M278" t="str">
        <f>IF(OR('Daily Check-In'!A278="",'Daily Check-In'!E278=""),"",'Daily Check-In'!E278)</f>
        <v/>
      </c>
    </row>
    <row r="279" spans="10:13">
      <c r="J279" s="8" t="str">
        <f>IF('Daily Check-In'!A279="","",'Daily Check-In'!A279)</f>
        <v/>
      </c>
      <c r="K279" t="str">
        <f>IF(OR('Daily Check-In'!A279="",'Daily Check-In'!C279=""),"",'Daily Check-In'!C279)</f>
        <v/>
      </c>
      <c r="L279" t="str">
        <f>IF(OR('Daily Check-In'!A279="",'Daily Check-In'!D279=""),"",'Daily Check-In'!D279)</f>
        <v/>
      </c>
      <c r="M279" t="str">
        <f>IF(OR('Daily Check-In'!A279="",'Daily Check-In'!E279=""),"",'Daily Check-In'!E279)</f>
        <v/>
      </c>
    </row>
    <row r="280" spans="10:13">
      <c r="J280" s="8" t="str">
        <f>IF('Daily Check-In'!A280="","",'Daily Check-In'!A280)</f>
        <v/>
      </c>
      <c r="K280" t="str">
        <f>IF(OR('Daily Check-In'!A280="",'Daily Check-In'!C280=""),"",'Daily Check-In'!C280)</f>
        <v/>
      </c>
      <c r="L280" t="str">
        <f>IF(OR('Daily Check-In'!A280="",'Daily Check-In'!D280=""),"",'Daily Check-In'!D280)</f>
        <v/>
      </c>
      <c r="M280" t="str">
        <f>IF(OR('Daily Check-In'!A280="",'Daily Check-In'!E280=""),"",'Daily Check-In'!E280)</f>
        <v/>
      </c>
    </row>
    <row r="281" spans="10:13">
      <c r="J281" s="8" t="str">
        <f>IF('Daily Check-In'!A281="","",'Daily Check-In'!A281)</f>
        <v/>
      </c>
      <c r="K281" t="str">
        <f>IF(OR('Daily Check-In'!A281="",'Daily Check-In'!C281=""),"",'Daily Check-In'!C281)</f>
        <v/>
      </c>
      <c r="L281" t="str">
        <f>IF(OR('Daily Check-In'!A281="",'Daily Check-In'!D281=""),"",'Daily Check-In'!D281)</f>
        <v/>
      </c>
      <c r="M281" t="str">
        <f>IF(OR('Daily Check-In'!A281="",'Daily Check-In'!E281=""),"",'Daily Check-In'!E281)</f>
        <v/>
      </c>
    </row>
    <row r="282" spans="10:13">
      <c r="J282" s="8" t="str">
        <f>IF('Daily Check-In'!A282="","",'Daily Check-In'!A282)</f>
        <v/>
      </c>
      <c r="K282" t="str">
        <f>IF(OR('Daily Check-In'!A282="",'Daily Check-In'!C282=""),"",'Daily Check-In'!C282)</f>
        <v/>
      </c>
      <c r="L282" t="str">
        <f>IF(OR('Daily Check-In'!A282="",'Daily Check-In'!D282=""),"",'Daily Check-In'!D282)</f>
        <v/>
      </c>
      <c r="M282" t="str">
        <f>IF(OR('Daily Check-In'!A282="",'Daily Check-In'!E282=""),"",'Daily Check-In'!E282)</f>
        <v/>
      </c>
    </row>
    <row r="283" spans="10:13">
      <c r="J283" s="8" t="str">
        <f>IF('Daily Check-In'!A283="","",'Daily Check-In'!A283)</f>
        <v/>
      </c>
      <c r="K283" t="str">
        <f>IF(OR('Daily Check-In'!A283="",'Daily Check-In'!C283=""),"",'Daily Check-In'!C283)</f>
        <v/>
      </c>
      <c r="L283" t="str">
        <f>IF(OR('Daily Check-In'!A283="",'Daily Check-In'!D283=""),"",'Daily Check-In'!D283)</f>
        <v/>
      </c>
      <c r="M283" t="str">
        <f>IF(OR('Daily Check-In'!A283="",'Daily Check-In'!E283=""),"",'Daily Check-In'!E283)</f>
        <v/>
      </c>
    </row>
    <row r="284" spans="10:13">
      <c r="J284" s="8" t="str">
        <f>IF('Daily Check-In'!A284="","",'Daily Check-In'!A284)</f>
        <v/>
      </c>
      <c r="K284" t="str">
        <f>IF(OR('Daily Check-In'!A284="",'Daily Check-In'!C284=""),"",'Daily Check-In'!C284)</f>
        <v/>
      </c>
      <c r="L284" t="str">
        <f>IF(OR('Daily Check-In'!A284="",'Daily Check-In'!D284=""),"",'Daily Check-In'!D284)</f>
        <v/>
      </c>
      <c r="M284" t="str">
        <f>IF(OR('Daily Check-In'!A284="",'Daily Check-In'!E284=""),"",'Daily Check-In'!E284)</f>
        <v/>
      </c>
    </row>
    <row r="285" spans="10:13">
      <c r="J285" s="8" t="str">
        <f>IF('Daily Check-In'!A285="","",'Daily Check-In'!A285)</f>
        <v/>
      </c>
      <c r="K285" t="str">
        <f>IF(OR('Daily Check-In'!A285="",'Daily Check-In'!C285=""),"",'Daily Check-In'!C285)</f>
        <v/>
      </c>
      <c r="L285" t="str">
        <f>IF(OR('Daily Check-In'!A285="",'Daily Check-In'!D285=""),"",'Daily Check-In'!D285)</f>
        <v/>
      </c>
      <c r="M285" t="str">
        <f>IF(OR('Daily Check-In'!A285="",'Daily Check-In'!E285=""),"",'Daily Check-In'!E285)</f>
        <v/>
      </c>
    </row>
    <row r="286" spans="10:13">
      <c r="J286" s="8" t="str">
        <f>IF('Daily Check-In'!A286="","",'Daily Check-In'!A286)</f>
        <v/>
      </c>
      <c r="K286" t="str">
        <f>IF(OR('Daily Check-In'!A286="",'Daily Check-In'!C286=""),"",'Daily Check-In'!C286)</f>
        <v/>
      </c>
      <c r="L286" t="str">
        <f>IF(OR('Daily Check-In'!A286="",'Daily Check-In'!D286=""),"",'Daily Check-In'!D286)</f>
        <v/>
      </c>
      <c r="M286" t="str">
        <f>IF(OR('Daily Check-In'!A286="",'Daily Check-In'!E286=""),"",'Daily Check-In'!E286)</f>
        <v/>
      </c>
    </row>
    <row r="287" spans="10:13">
      <c r="J287" s="8" t="str">
        <f>IF('Daily Check-In'!A287="","",'Daily Check-In'!A287)</f>
        <v/>
      </c>
      <c r="K287" t="str">
        <f>IF(OR('Daily Check-In'!A287="",'Daily Check-In'!C287=""),"",'Daily Check-In'!C287)</f>
        <v/>
      </c>
      <c r="L287" t="str">
        <f>IF(OR('Daily Check-In'!A287="",'Daily Check-In'!D287=""),"",'Daily Check-In'!D287)</f>
        <v/>
      </c>
      <c r="M287" t="str">
        <f>IF(OR('Daily Check-In'!A287="",'Daily Check-In'!E287=""),"",'Daily Check-In'!E287)</f>
        <v/>
      </c>
    </row>
    <row r="288" spans="10:13">
      <c r="J288" s="8" t="str">
        <f>IF('Daily Check-In'!A288="","",'Daily Check-In'!A288)</f>
        <v/>
      </c>
      <c r="K288" t="str">
        <f>IF(OR('Daily Check-In'!A288="",'Daily Check-In'!C288=""),"",'Daily Check-In'!C288)</f>
        <v/>
      </c>
      <c r="L288" t="str">
        <f>IF(OR('Daily Check-In'!A288="",'Daily Check-In'!D288=""),"",'Daily Check-In'!D288)</f>
        <v/>
      </c>
      <c r="M288" t="str">
        <f>IF(OR('Daily Check-In'!A288="",'Daily Check-In'!E288=""),"",'Daily Check-In'!E288)</f>
        <v/>
      </c>
    </row>
    <row r="289" spans="10:13">
      <c r="J289" s="8" t="str">
        <f>IF('Daily Check-In'!A289="","",'Daily Check-In'!A289)</f>
        <v/>
      </c>
      <c r="K289" t="str">
        <f>IF(OR('Daily Check-In'!A289="",'Daily Check-In'!C289=""),"",'Daily Check-In'!C289)</f>
        <v/>
      </c>
      <c r="L289" t="str">
        <f>IF(OR('Daily Check-In'!A289="",'Daily Check-In'!D289=""),"",'Daily Check-In'!D289)</f>
        <v/>
      </c>
      <c r="M289" t="str">
        <f>IF(OR('Daily Check-In'!A289="",'Daily Check-In'!E289=""),"",'Daily Check-In'!E289)</f>
        <v/>
      </c>
    </row>
    <row r="290" spans="10:13">
      <c r="J290" s="8" t="str">
        <f>IF('Daily Check-In'!A290="","",'Daily Check-In'!A290)</f>
        <v/>
      </c>
      <c r="K290" t="str">
        <f>IF(OR('Daily Check-In'!A290="",'Daily Check-In'!C290=""),"",'Daily Check-In'!C290)</f>
        <v/>
      </c>
      <c r="L290" t="str">
        <f>IF(OR('Daily Check-In'!A290="",'Daily Check-In'!D290=""),"",'Daily Check-In'!D290)</f>
        <v/>
      </c>
      <c r="M290" t="str">
        <f>IF(OR('Daily Check-In'!A290="",'Daily Check-In'!E290=""),"",'Daily Check-In'!E290)</f>
        <v/>
      </c>
    </row>
    <row r="291" spans="10:13">
      <c r="J291" s="8" t="str">
        <f>IF('Daily Check-In'!A291="","",'Daily Check-In'!A291)</f>
        <v/>
      </c>
      <c r="K291" t="str">
        <f>IF(OR('Daily Check-In'!A291="",'Daily Check-In'!C291=""),"",'Daily Check-In'!C291)</f>
        <v/>
      </c>
      <c r="L291" t="str">
        <f>IF(OR('Daily Check-In'!A291="",'Daily Check-In'!D291=""),"",'Daily Check-In'!D291)</f>
        <v/>
      </c>
      <c r="M291" t="str">
        <f>IF(OR('Daily Check-In'!A291="",'Daily Check-In'!E291=""),"",'Daily Check-In'!E291)</f>
        <v/>
      </c>
    </row>
    <row r="292" spans="10:13">
      <c r="J292" s="8" t="str">
        <f>IF('Daily Check-In'!A292="","",'Daily Check-In'!A292)</f>
        <v/>
      </c>
      <c r="K292" t="str">
        <f>IF(OR('Daily Check-In'!A292="",'Daily Check-In'!C292=""),"",'Daily Check-In'!C292)</f>
        <v/>
      </c>
      <c r="L292" t="str">
        <f>IF(OR('Daily Check-In'!A292="",'Daily Check-In'!D292=""),"",'Daily Check-In'!D292)</f>
        <v/>
      </c>
      <c r="M292" t="str">
        <f>IF(OR('Daily Check-In'!A292="",'Daily Check-In'!E292=""),"",'Daily Check-In'!E292)</f>
        <v/>
      </c>
    </row>
    <row r="293" spans="10:13">
      <c r="J293" s="8" t="str">
        <f>IF('Daily Check-In'!A293="","",'Daily Check-In'!A293)</f>
        <v/>
      </c>
      <c r="K293" t="str">
        <f>IF(OR('Daily Check-In'!A293="",'Daily Check-In'!C293=""),"",'Daily Check-In'!C293)</f>
        <v/>
      </c>
      <c r="L293" t="str">
        <f>IF(OR('Daily Check-In'!A293="",'Daily Check-In'!D293=""),"",'Daily Check-In'!D293)</f>
        <v/>
      </c>
      <c r="M293" t="str">
        <f>IF(OR('Daily Check-In'!A293="",'Daily Check-In'!E293=""),"",'Daily Check-In'!E293)</f>
        <v/>
      </c>
    </row>
    <row r="294" spans="10:13">
      <c r="J294" s="8" t="str">
        <f>IF('Daily Check-In'!A294="","",'Daily Check-In'!A294)</f>
        <v/>
      </c>
      <c r="K294" t="str">
        <f>IF(OR('Daily Check-In'!A294="",'Daily Check-In'!C294=""),"",'Daily Check-In'!C294)</f>
        <v/>
      </c>
      <c r="L294" t="str">
        <f>IF(OR('Daily Check-In'!A294="",'Daily Check-In'!D294=""),"",'Daily Check-In'!D294)</f>
        <v/>
      </c>
      <c r="M294" t="str">
        <f>IF(OR('Daily Check-In'!A294="",'Daily Check-In'!E294=""),"",'Daily Check-In'!E294)</f>
        <v/>
      </c>
    </row>
    <row r="295" spans="10:13">
      <c r="J295" s="8" t="str">
        <f>IF('Daily Check-In'!A295="","",'Daily Check-In'!A295)</f>
        <v/>
      </c>
      <c r="K295" t="str">
        <f>IF(OR('Daily Check-In'!A295="",'Daily Check-In'!C295=""),"",'Daily Check-In'!C295)</f>
        <v/>
      </c>
      <c r="L295" t="str">
        <f>IF(OR('Daily Check-In'!A295="",'Daily Check-In'!D295=""),"",'Daily Check-In'!D295)</f>
        <v/>
      </c>
      <c r="M295" t="str">
        <f>IF(OR('Daily Check-In'!A295="",'Daily Check-In'!E295=""),"",'Daily Check-In'!E295)</f>
        <v/>
      </c>
    </row>
    <row r="296" spans="10:13">
      <c r="J296" s="8" t="str">
        <f>IF('Daily Check-In'!A296="","",'Daily Check-In'!A296)</f>
        <v/>
      </c>
      <c r="K296" t="str">
        <f>IF(OR('Daily Check-In'!A296="",'Daily Check-In'!C296=""),"",'Daily Check-In'!C296)</f>
        <v/>
      </c>
      <c r="L296" t="str">
        <f>IF(OR('Daily Check-In'!A296="",'Daily Check-In'!D296=""),"",'Daily Check-In'!D296)</f>
        <v/>
      </c>
      <c r="M296" t="str">
        <f>IF(OR('Daily Check-In'!A296="",'Daily Check-In'!E296=""),"",'Daily Check-In'!E296)</f>
        <v/>
      </c>
    </row>
    <row r="297" spans="10:13">
      <c r="J297" s="8" t="str">
        <f>IF('Daily Check-In'!A297="","",'Daily Check-In'!A297)</f>
        <v/>
      </c>
      <c r="K297" t="str">
        <f>IF(OR('Daily Check-In'!A297="",'Daily Check-In'!C297=""),"",'Daily Check-In'!C297)</f>
        <v/>
      </c>
      <c r="L297" t="str">
        <f>IF(OR('Daily Check-In'!A297="",'Daily Check-In'!D297=""),"",'Daily Check-In'!D297)</f>
        <v/>
      </c>
      <c r="M297" t="str">
        <f>IF(OR('Daily Check-In'!A297="",'Daily Check-In'!E297=""),"",'Daily Check-In'!E297)</f>
        <v/>
      </c>
    </row>
    <row r="298" spans="10:13">
      <c r="J298" s="8" t="str">
        <f>IF('Daily Check-In'!A298="","",'Daily Check-In'!A298)</f>
        <v/>
      </c>
      <c r="K298" t="str">
        <f>IF(OR('Daily Check-In'!A298="",'Daily Check-In'!C298=""),"",'Daily Check-In'!C298)</f>
        <v/>
      </c>
      <c r="L298" t="str">
        <f>IF(OR('Daily Check-In'!A298="",'Daily Check-In'!D298=""),"",'Daily Check-In'!D298)</f>
        <v/>
      </c>
      <c r="M298" t="str">
        <f>IF(OR('Daily Check-In'!A298="",'Daily Check-In'!E298=""),"",'Daily Check-In'!E298)</f>
        <v/>
      </c>
    </row>
    <row r="299" spans="10:13">
      <c r="J299" s="8" t="str">
        <f>IF('Daily Check-In'!A299="","",'Daily Check-In'!A299)</f>
        <v/>
      </c>
      <c r="K299" t="str">
        <f>IF(OR('Daily Check-In'!A299="",'Daily Check-In'!C299=""),"",'Daily Check-In'!C299)</f>
        <v/>
      </c>
      <c r="L299" t="str">
        <f>IF(OR('Daily Check-In'!A299="",'Daily Check-In'!D299=""),"",'Daily Check-In'!D299)</f>
        <v/>
      </c>
      <c r="M299" t="str">
        <f>IF(OR('Daily Check-In'!A299="",'Daily Check-In'!E299=""),"",'Daily Check-In'!E299)</f>
        <v/>
      </c>
    </row>
    <row r="300" spans="10:13">
      <c r="J300" s="8" t="str">
        <f>IF('Daily Check-In'!A300="","",'Daily Check-In'!A300)</f>
        <v/>
      </c>
      <c r="K300" t="str">
        <f>IF(OR('Daily Check-In'!A300="",'Daily Check-In'!C300=""),"",'Daily Check-In'!C300)</f>
        <v/>
      </c>
      <c r="L300" t="str">
        <f>IF(OR('Daily Check-In'!A300="",'Daily Check-In'!D300=""),"",'Daily Check-In'!D300)</f>
        <v/>
      </c>
      <c r="M300" t="str">
        <f>IF(OR('Daily Check-In'!A300="",'Daily Check-In'!E300=""),"",'Daily Check-In'!E300)</f>
        <v/>
      </c>
    </row>
    <row r="301" spans="10:13">
      <c r="J301" s="8" t="str">
        <f>IF('Daily Check-In'!A301="","",'Daily Check-In'!A301)</f>
        <v/>
      </c>
      <c r="K301" t="str">
        <f>IF(OR('Daily Check-In'!A301="",'Daily Check-In'!C301=""),"",'Daily Check-In'!C301)</f>
        <v/>
      </c>
      <c r="L301" t="str">
        <f>IF(OR('Daily Check-In'!A301="",'Daily Check-In'!D301=""),"",'Daily Check-In'!D301)</f>
        <v/>
      </c>
      <c r="M301" t="str">
        <f>IF(OR('Daily Check-In'!A301="",'Daily Check-In'!E301=""),"",'Daily Check-In'!E301)</f>
        <v/>
      </c>
    </row>
    <row r="302" spans="10:13">
      <c r="J302" s="8" t="str">
        <f>IF('Daily Check-In'!A302="","",'Daily Check-In'!A302)</f>
        <v/>
      </c>
      <c r="K302" t="str">
        <f>IF(OR('Daily Check-In'!A302="",'Daily Check-In'!C302=""),"",'Daily Check-In'!C302)</f>
        <v/>
      </c>
      <c r="L302" t="str">
        <f>IF(OR('Daily Check-In'!A302="",'Daily Check-In'!D302=""),"",'Daily Check-In'!D302)</f>
        <v/>
      </c>
      <c r="M302" t="str">
        <f>IF(OR('Daily Check-In'!A302="",'Daily Check-In'!E302=""),"",'Daily Check-In'!E302)</f>
        <v/>
      </c>
    </row>
    <row r="303" spans="10:13">
      <c r="J303" s="8" t="str">
        <f>IF('Daily Check-In'!A303="","",'Daily Check-In'!A303)</f>
        <v/>
      </c>
      <c r="K303" t="str">
        <f>IF(OR('Daily Check-In'!A303="",'Daily Check-In'!C303=""),"",'Daily Check-In'!C303)</f>
        <v/>
      </c>
      <c r="L303" t="str">
        <f>IF(OR('Daily Check-In'!A303="",'Daily Check-In'!D303=""),"",'Daily Check-In'!D303)</f>
        <v/>
      </c>
      <c r="M303" t="str">
        <f>IF(OR('Daily Check-In'!A303="",'Daily Check-In'!E303=""),"",'Daily Check-In'!E303)</f>
        <v/>
      </c>
    </row>
    <row r="304" spans="10:13">
      <c r="J304" s="8" t="str">
        <f>IF('Daily Check-In'!A304="","",'Daily Check-In'!A304)</f>
        <v/>
      </c>
      <c r="K304" t="str">
        <f>IF(OR('Daily Check-In'!A304="",'Daily Check-In'!C304=""),"",'Daily Check-In'!C304)</f>
        <v/>
      </c>
      <c r="L304" t="str">
        <f>IF(OR('Daily Check-In'!A304="",'Daily Check-In'!D304=""),"",'Daily Check-In'!D304)</f>
        <v/>
      </c>
      <c r="M304" t="str">
        <f>IF(OR('Daily Check-In'!A304="",'Daily Check-In'!E304=""),"",'Daily Check-In'!E304)</f>
        <v/>
      </c>
    </row>
    <row r="305" spans="10:13">
      <c r="J305" s="8" t="str">
        <f>IF('Daily Check-In'!A305="","",'Daily Check-In'!A305)</f>
        <v/>
      </c>
      <c r="K305" t="str">
        <f>IF(OR('Daily Check-In'!A305="",'Daily Check-In'!C305=""),"",'Daily Check-In'!C305)</f>
        <v/>
      </c>
      <c r="L305" t="str">
        <f>IF(OR('Daily Check-In'!A305="",'Daily Check-In'!D305=""),"",'Daily Check-In'!D305)</f>
        <v/>
      </c>
      <c r="M305" t="str">
        <f>IF(OR('Daily Check-In'!A305="",'Daily Check-In'!E305=""),"",'Daily Check-In'!E305)</f>
        <v/>
      </c>
    </row>
    <row r="306" spans="10:13">
      <c r="J306" s="8" t="str">
        <f>IF('Daily Check-In'!A306="","",'Daily Check-In'!A306)</f>
        <v/>
      </c>
      <c r="K306" t="str">
        <f>IF(OR('Daily Check-In'!A306="",'Daily Check-In'!C306=""),"",'Daily Check-In'!C306)</f>
        <v/>
      </c>
      <c r="L306" t="str">
        <f>IF(OR('Daily Check-In'!A306="",'Daily Check-In'!D306=""),"",'Daily Check-In'!D306)</f>
        <v/>
      </c>
      <c r="M306" t="str">
        <f>IF(OR('Daily Check-In'!A306="",'Daily Check-In'!E306=""),"",'Daily Check-In'!E306)</f>
        <v/>
      </c>
    </row>
    <row r="307" spans="10:13">
      <c r="J307" s="8" t="str">
        <f>IF('Daily Check-In'!A307="","",'Daily Check-In'!A307)</f>
        <v/>
      </c>
      <c r="K307" t="str">
        <f>IF(OR('Daily Check-In'!A307="",'Daily Check-In'!C307=""),"",'Daily Check-In'!C307)</f>
        <v/>
      </c>
      <c r="L307" t="str">
        <f>IF(OR('Daily Check-In'!A307="",'Daily Check-In'!D307=""),"",'Daily Check-In'!D307)</f>
        <v/>
      </c>
      <c r="M307" t="str">
        <f>IF(OR('Daily Check-In'!A307="",'Daily Check-In'!E307=""),"",'Daily Check-In'!E307)</f>
        <v/>
      </c>
    </row>
    <row r="308" spans="10:13">
      <c r="J308" s="8" t="str">
        <f>IF('Daily Check-In'!A308="","",'Daily Check-In'!A308)</f>
        <v/>
      </c>
      <c r="K308" t="str">
        <f>IF(OR('Daily Check-In'!A308="",'Daily Check-In'!C308=""),"",'Daily Check-In'!C308)</f>
        <v/>
      </c>
      <c r="L308" t="str">
        <f>IF(OR('Daily Check-In'!A308="",'Daily Check-In'!D308=""),"",'Daily Check-In'!D308)</f>
        <v/>
      </c>
      <c r="M308" t="str">
        <f>IF(OR('Daily Check-In'!A308="",'Daily Check-In'!E308=""),"",'Daily Check-In'!E308)</f>
        <v/>
      </c>
    </row>
    <row r="309" spans="10:13">
      <c r="J309" s="8" t="str">
        <f>IF('Daily Check-In'!A309="","",'Daily Check-In'!A309)</f>
        <v/>
      </c>
      <c r="K309" t="str">
        <f>IF(OR('Daily Check-In'!A309="",'Daily Check-In'!C309=""),"",'Daily Check-In'!C309)</f>
        <v/>
      </c>
      <c r="L309" t="str">
        <f>IF(OR('Daily Check-In'!A309="",'Daily Check-In'!D309=""),"",'Daily Check-In'!D309)</f>
        <v/>
      </c>
      <c r="M309" t="str">
        <f>IF(OR('Daily Check-In'!A309="",'Daily Check-In'!E309=""),"",'Daily Check-In'!E309)</f>
        <v/>
      </c>
    </row>
    <row r="310" spans="10:13">
      <c r="J310" s="8" t="str">
        <f>IF('Daily Check-In'!A310="","",'Daily Check-In'!A310)</f>
        <v/>
      </c>
      <c r="K310" t="str">
        <f>IF(OR('Daily Check-In'!A310="",'Daily Check-In'!C310=""),"",'Daily Check-In'!C310)</f>
        <v/>
      </c>
      <c r="L310" t="str">
        <f>IF(OR('Daily Check-In'!A310="",'Daily Check-In'!D310=""),"",'Daily Check-In'!D310)</f>
        <v/>
      </c>
      <c r="M310" t="str">
        <f>IF(OR('Daily Check-In'!A310="",'Daily Check-In'!E310=""),"",'Daily Check-In'!E310)</f>
        <v/>
      </c>
    </row>
    <row r="311" spans="10:13">
      <c r="J311" s="8" t="str">
        <f>IF('Daily Check-In'!A311="","",'Daily Check-In'!A311)</f>
        <v/>
      </c>
      <c r="K311" t="str">
        <f>IF(OR('Daily Check-In'!A311="",'Daily Check-In'!C311=""),"",'Daily Check-In'!C311)</f>
        <v/>
      </c>
      <c r="L311" t="str">
        <f>IF(OR('Daily Check-In'!A311="",'Daily Check-In'!D311=""),"",'Daily Check-In'!D311)</f>
        <v/>
      </c>
      <c r="M311" t="str">
        <f>IF(OR('Daily Check-In'!A311="",'Daily Check-In'!E311=""),"",'Daily Check-In'!E311)</f>
        <v/>
      </c>
    </row>
    <row r="312" spans="10:13">
      <c r="J312" s="8" t="str">
        <f>IF('Daily Check-In'!A312="","",'Daily Check-In'!A312)</f>
        <v/>
      </c>
      <c r="K312" t="str">
        <f>IF(OR('Daily Check-In'!A312="",'Daily Check-In'!C312=""),"",'Daily Check-In'!C312)</f>
        <v/>
      </c>
      <c r="L312" t="str">
        <f>IF(OR('Daily Check-In'!A312="",'Daily Check-In'!D312=""),"",'Daily Check-In'!D312)</f>
        <v/>
      </c>
      <c r="M312" t="str">
        <f>IF(OR('Daily Check-In'!A312="",'Daily Check-In'!E312=""),"",'Daily Check-In'!E312)</f>
        <v/>
      </c>
    </row>
    <row r="313" spans="10:13">
      <c r="J313" s="8" t="str">
        <f>IF('Daily Check-In'!A313="","",'Daily Check-In'!A313)</f>
        <v/>
      </c>
      <c r="K313" t="str">
        <f>IF(OR('Daily Check-In'!A313="",'Daily Check-In'!C313=""),"",'Daily Check-In'!C313)</f>
        <v/>
      </c>
      <c r="L313" t="str">
        <f>IF(OR('Daily Check-In'!A313="",'Daily Check-In'!D313=""),"",'Daily Check-In'!D313)</f>
        <v/>
      </c>
      <c r="M313" t="str">
        <f>IF(OR('Daily Check-In'!A313="",'Daily Check-In'!E313=""),"",'Daily Check-In'!E313)</f>
        <v/>
      </c>
    </row>
    <row r="314" spans="10:13">
      <c r="J314" s="8" t="str">
        <f>IF('Daily Check-In'!A314="","",'Daily Check-In'!A314)</f>
        <v/>
      </c>
      <c r="K314" t="str">
        <f>IF(OR('Daily Check-In'!A314="",'Daily Check-In'!C314=""),"",'Daily Check-In'!C314)</f>
        <v/>
      </c>
      <c r="L314" t="str">
        <f>IF(OR('Daily Check-In'!A314="",'Daily Check-In'!D314=""),"",'Daily Check-In'!D314)</f>
        <v/>
      </c>
      <c r="M314" t="str">
        <f>IF(OR('Daily Check-In'!A314="",'Daily Check-In'!E314=""),"",'Daily Check-In'!E314)</f>
        <v/>
      </c>
    </row>
    <row r="315" spans="10:13">
      <c r="J315" s="8" t="str">
        <f>IF('Daily Check-In'!A315="","",'Daily Check-In'!A315)</f>
        <v/>
      </c>
      <c r="K315" t="str">
        <f>IF(OR('Daily Check-In'!A315="",'Daily Check-In'!C315=""),"",'Daily Check-In'!C315)</f>
        <v/>
      </c>
      <c r="L315" t="str">
        <f>IF(OR('Daily Check-In'!A315="",'Daily Check-In'!D315=""),"",'Daily Check-In'!D315)</f>
        <v/>
      </c>
      <c r="M315" t="str">
        <f>IF(OR('Daily Check-In'!A315="",'Daily Check-In'!E315=""),"",'Daily Check-In'!E315)</f>
        <v/>
      </c>
    </row>
    <row r="316" spans="10:13">
      <c r="J316" s="8" t="str">
        <f>IF('Daily Check-In'!A316="","",'Daily Check-In'!A316)</f>
        <v/>
      </c>
      <c r="K316" t="str">
        <f>IF(OR('Daily Check-In'!A316="",'Daily Check-In'!C316=""),"",'Daily Check-In'!C316)</f>
        <v/>
      </c>
      <c r="L316" t="str">
        <f>IF(OR('Daily Check-In'!A316="",'Daily Check-In'!D316=""),"",'Daily Check-In'!D316)</f>
        <v/>
      </c>
      <c r="M316" t="str">
        <f>IF(OR('Daily Check-In'!A316="",'Daily Check-In'!E316=""),"",'Daily Check-In'!E316)</f>
        <v/>
      </c>
    </row>
    <row r="317" spans="10:13">
      <c r="J317" s="8" t="str">
        <f>IF('Daily Check-In'!A317="","",'Daily Check-In'!A317)</f>
        <v/>
      </c>
      <c r="K317" t="str">
        <f>IF(OR('Daily Check-In'!A317="",'Daily Check-In'!C317=""),"",'Daily Check-In'!C317)</f>
        <v/>
      </c>
      <c r="L317" t="str">
        <f>IF(OR('Daily Check-In'!A317="",'Daily Check-In'!D317=""),"",'Daily Check-In'!D317)</f>
        <v/>
      </c>
      <c r="M317" t="str">
        <f>IF(OR('Daily Check-In'!A317="",'Daily Check-In'!E317=""),"",'Daily Check-In'!E317)</f>
        <v/>
      </c>
    </row>
    <row r="318" spans="10:13">
      <c r="J318" s="8" t="str">
        <f>IF('Daily Check-In'!A318="","",'Daily Check-In'!A318)</f>
        <v/>
      </c>
      <c r="K318" t="str">
        <f>IF(OR('Daily Check-In'!A318="",'Daily Check-In'!C318=""),"",'Daily Check-In'!C318)</f>
        <v/>
      </c>
      <c r="L318" t="str">
        <f>IF(OR('Daily Check-In'!A318="",'Daily Check-In'!D318=""),"",'Daily Check-In'!D318)</f>
        <v/>
      </c>
      <c r="M318" t="str">
        <f>IF(OR('Daily Check-In'!A318="",'Daily Check-In'!E318=""),"",'Daily Check-In'!E318)</f>
        <v/>
      </c>
    </row>
    <row r="319" spans="10:13">
      <c r="J319" s="8" t="str">
        <f>IF('Daily Check-In'!A319="","",'Daily Check-In'!A319)</f>
        <v/>
      </c>
      <c r="K319" t="str">
        <f>IF(OR('Daily Check-In'!A319="",'Daily Check-In'!C319=""),"",'Daily Check-In'!C319)</f>
        <v/>
      </c>
      <c r="L319" t="str">
        <f>IF(OR('Daily Check-In'!A319="",'Daily Check-In'!D319=""),"",'Daily Check-In'!D319)</f>
        <v/>
      </c>
      <c r="M319" t="str">
        <f>IF(OR('Daily Check-In'!A319="",'Daily Check-In'!E319=""),"",'Daily Check-In'!E319)</f>
        <v/>
      </c>
    </row>
    <row r="320" spans="10:13">
      <c r="J320" s="8" t="str">
        <f>IF('Daily Check-In'!A320="","",'Daily Check-In'!A320)</f>
        <v/>
      </c>
      <c r="K320" t="str">
        <f>IF(OR('Daily Check-In'!A320="",'Daily Check-In'!C320=""),"",'Daily Check-In'!C320)</f>
        <v/>
      </c>
      <c r="L320" t="str">
        <f>IF(OR('Daily Check-In'!A320="",'Daily Check-In'!D320=""),"",'Daily Check-In'!D320)</f>
        <v/>
      </c>
      <c r="M320" t="str">
        <f>IF(OR('Daily Check-In'!A320="",'Daily Check-In'!E320=""),"",'Daily Check-In'!E320)</f>
        <v/>
      </c>
    </row>
    <row r="321" spans="10:13">
      <c r="J321" s="8" t="str">
        <f>IF('Daily Check-In'!A321="","",'Daily Check-In'!A321)</f>
        <v/>
      </c>
      <c r="K321" t="str">
        <f>IF(OR('Daily Check-In'!A321="",'Daily Check-In'!C321=""),"",'Daily Check-In'!C321)</f>
        <v/>
      </c>
      <c r="L321" t="str">
        <f>IF(OR('Daily Check-In'!A321="",'Daily Check-In'!D321=""),"",'Daily Check-In'!D321)</f>
        <v/>
      </c>
      <c r="M321" t="str">
        <f>IF(OR('Daily Check-In'!A321="",'Daily Check-In'!E321=""),"",'Daily Check-In'!E321)</f>
        <v/>
      </c>
    </row>
    <row r="322" spans="10:13">
      <c r="J322" s="8" t="str">
        <f>IF('Daily Check-In'!A322="","",'Daily Check-In'!A322)</f>
        <v/>
      </c>
      <c r="K322" t="str">
        <f>IF(OR('Daily Check-In'!A322="",'Daily Check-In'!C322=""),"",'Daily Check-In'!C322)</f>
        <v/>
      </c>
      <c r="L322" t="str">
        <f>IF(OR('Daily Check-In'!A322="",'Daily Check-In'!D322=""),"",'Daily Check-In'!D322)</f>
        <v/>
      </c>
      <c r="M322" t="str">
        <f>IF(OR('Daily Check-In'!A322="",'Daily Check-In'!E322=""),"",'Daily Check-In'!E322)</f>
        <v/>
      </c>
    </row>
    <row r="323" spans="10:13">
      <c r="J323" s="8" t="str">
        <f>IF('Daily Check-In'!A323="","",'Daily Check-In'!A323)</f>
        <v/>
      </c>
      <c r="K323" t="str">
        <f>IF(OR('Daily Check-In'!A323="",'Daily Check-In'!C323=""),"",'Daily Check-In'!C323)</f>
        <v/>
      </c>
      <c r="L323" t="str">
        <f>IF(OR('Daily Check-In'!A323="",'Daily Check-In'!D323=""),"",'Daily Check-In'!D323)</f>
        <v/>
      </c>
      <c r="M323" t="str">
        <f>IF(OR('Daily Check-In'!A323="",'Daily Check-In'!E323=""),"",'Daily Check-In'!E323)</f>
        <v/>
      </c>
    </row>
    <row r="324" spans="10:13">
      <c r="J324" s="8" t="str">
        <f>IF('Daily Check-In'!A324="","",'Daily Check-In'!A324)</f>
        <v/>
      </c>
      <c r="K324" t="str">
        <f>IF(OR('Daily Check-In'!A324="",'Daily Check-In'!C324=""),"",'Daily Check-In'!C324)</f>
        <v/>
      </c>
      <c r="L324" t="str">
        <f>IF(OR('Daily Check-In'!A324="",'Daily Check-In'!D324=""),"",'Daily Check-In'!D324)</f>
        <v/>
      </c>
      <c r="M324" t="str">
        <f>IF(OR('Daily Check-In'!A324="",'Daily Check-In'!E324=""),"",'Daily Check-In'!E324)</f>
        <v/>
      </c>
    </row>
    <row r="325" spans="10:13">
      <c r="J325" s="8" t="str">
        <f>IF('Daily Check-In'!A325="","",'Daily Check-In'!A325)</f>
        <v/>
      </c>
      <c r="K325" t="str">
        <f>IF(OR('Daily Check-In'!A325="",'Daily Check-In'!C325=""),"",'Daily Check-In'!C325)</f>
        <v/>
      </c>
      <c r="L325" t="str">
        <f>IF(OR('Daily Check-In'!A325="",'Daily Check-In'!D325=""),"",'Daily Check-In'!D325)</f>
        <v/>
      </c>
      <c r="M325" t="str">
        <f>IF(OR('Daily Check-In'!A325="",'Daily Check-In'!E325=""),"",'Daily Check-In'!E325)</f>
        <v/>
      </c>
    </row>
    <row r="326" spans="10:13">
      <c r="J326" s="8" t="str">
        <f>IF('Daily Check-In'!A326="","",'Daily Check-In'!A326)</f>
        <v/>
      </c>
      <c r="K326" t="str">
        <f>IF(OR('Daily Check-In'!A326="",'Daily Check-In'!C326=""),"",'Daily Check-In'!C326)</f>
        <v/>
      </c>
      <c r="L326" t="str">
        <f>IF(OR('Daily Check-In'!A326="",'Daily Check-In'!D326=""),"",'Daily Check-In'!D326)</f>
        <v/>
      </c>
      <c r="M326" t="str">
        <f>IF(OR('Daily Check-In'!A326="",'Daily Check-In'!E326=""),"",'Daily Check-In'!E326)</f>
        <v/>
      </c>
    </row>
    <row r="327" spans="10:13">
      <c r="J327" s="8" t="str">
        <f>IF('Daily Check-In'!A327="","",'Daily Check-In'!A327)</f>
        <v/>
      </c>
      <c r="K327" t="str">
        <f>IF(OR('Daily Check-In'!A327="",'Daily Check-In'!C327=""),"",'Daily Check-In'!C327)</f>
        <v/>
      </c>
      <c r="L327" t="str">
        <f>IF(OR('Daily Check-In'!A327="",'Daily Check-In'!D327=""),"",'Daily Check-In'!D327)</f>
        <v/>
      </c>
      <c r="M327" t="str">
        <f>IF(OR('Daily Check-In'!A327="",'Daily Check-In'!E327=""),"",'Daily Check-In'!E327)</f>
        <v/>
      </c>
    </row>
    <row r="328" spans="10:13">
      <c r="J328" s="8" t="str">
        <f>IF('Daily Check-In'!A328="","",'Daily Check-In'!A328)</f>
        <v/>
      </c>
      <c r="K328" t="str">
        <f>IF(OR('Daily Check-In'!A328="",'Daily Check-In'!C328=""),"",'Daily Check-In'!C328)</f>
        <v/>
      </c>
      <c r="L328" t="str">
        <f>IF(OR('Daily Check-In'!A328="",'Daily Check-In'!D328=""),"",'Daily Check-In'!D328)</f>
        <v/>
      </c>
      <c r="M328" t="str">
        <f>IF(OR('Daily Check-In'!A328="",'Daily Check-In'!E328=""),"",'Daily Check-In'!E328)</f>
        <v/>
      </c>
    </row>
    <row r="329" spans="10:13">
      <c r="J329" s="8" t="str">
        <f>IF('Daily Check-In'!A329="","",'Daily Check-In'!A329)</f>
        <v/>
      </c>
      <c r="K329" t="str">
        <f>IF(OR('Daily Check-In'!A329="",'Daily Check-In'!C329=""),"",'Daily Check-In'!C329)</f>
        <v/>
      </c>
      <c r="L329" t="str">
        <f>IF(OR('Daily Check-In'!A329="",'Daily Check-In'!D329=""),"",'Daily Check-In'!D329)</f>
        <v/>
      </c>
      <c r="M329" t="str">
        <f>IF(OR('Daily Check-In'!A329="",'Daily Check-In'!E329=""),"",'Daily Check-In'!E329)</f>
        <v/>
      </c>
    </row>
    <row r="330" spans="10:13">
      <c r="J330" s="8" t="str">
        <f>IF('Daily Check-In'!A330="","",'Daily Check-In'!A330)</f>
        <v/>
      </c>
      <c r="K330" t="str">
        <f>IF(OR('Daily Check-In'!A330="",'Daily Check-In'!C330=""),"",'Daily Check-In'!C330)</f>
        <v/>
      </c>
      <c r="L330" t="str">
        <f>IF(OR('Daily Check-In'!A330="",'Daily Check-In'!D330=""),"",'Daily Check-In'!D330)</f>
        <v/>
      </c>
      <c r="M330" t="str">
        <f>IF(OR('Daily Check-In'!A330="",'Daily Check-In'!E330=""),"",'Daily Check-In'!E330)</f>
        <v/>
      </c>
    </row>
    <row r="331" spans="10:13">
      <c r="J331" s="8" t="str">
        <f>IF('Daily Check-In'!A331="","",'Daily Check-In'!A331)</f>
        <v/>
      </c>
      <c r="K331" t="str">
        <f>IF(OR('Daily Check-In'!A331="",'Daily Check-In'!C331=""),"",'Daily Check-In'!C331)</f>
        <v/>
      </c>
      <c r="L331" t="str">
        <f>IF(OR('Daily Check-In'!A331="",'Daily Check-In'!D331=""),"",'Daily Check-In'!D331)</f>
        <v/>
      </c>
      <c r="M331" t="str">
        <f>IF(OR('Daily Check-In'!A331="",'Daily Check-In'!E331=""),"",'Daily Check-In'!E331)</f>
        <v/>
      </c>
    </row>
    <row r="332" spans="10:13">
      <c r="J332" s="8" t="str">
        <f>IF('Daily Check-In'!A332="","",'Daily Check-In'!A332)</f>
        <v/>
      </c>
      <c r="K332" t="str">
        <f>IF(OR('Daily Check-In'!A332="",'Daily Check-In'!C332=""),"",'Daily Check-In'!C332)</f>
        <v/>
      </c>
      <c r="L332" t="str">
        <f>IF(OR('Daily Check-In'!A332="",'Daily Check-In'!D332=""),"",'Daily Check-In'!D332)</f>
        <v/>
      </c>
      <c r="M332" t="str">
        <f>IF(OR('Daily Check-In'!A332="",'Daily Check-In'!E332=""),"",'Daily Check-In'!E332)</f>
        <v/>
      </c>
    </row>
    <row r="333" spans="10:13">
      <c r="J333" s="8" t="str">
        <f>IF('Daily Check-In'!A333="","",'Daily Check-In'!A333)</f>
        <v/>
      </c>
      <c r="K333" t="str">
        <f>IF(OR('Daily Check-In'!A333="",'Daily Check-In'!C333=""),"",'Daily Check-In'!C333)</f>
        <v/>
      </c>
      <c r="L333" t="str">
        <f>IF(OR('Daily Check-In'!A333="",'Daily Check-In'!D333=""),"",'Daily Check-In'!D333)</f>
        <v/>
      </c>
      <c r="M333" t="str">
        <f>IF(OR('Daily Check-In'!A333="",'Daily Check-In'!E333=""),"",'Daily Check-In'!E333)</f>
        <v/>
      </c>
    </row>
    <row r="334" spans="10:13">
      <c r="J334" s="8" t="str">
        <f>IF('Daily Check-In'!A334="","",'Daily Check-In'!A334)</f>
        <v/>
      </c>
      <c r="K334" t="str">
        <f>IF(OR('Daily Check-In'!A334="",'Daily Check-In'!C334=""),"",'Daily Check-In'!C334)</f>
        <v/>
      </c>
      <c r="L334" t="str">
        <f>IF(OR('Daily Check-In'!A334="",'Daily Check-In'!D334=""),"",'Daily Check-In'!D334)</f>
        <v/>
      </c>
      <c r="M334" t="str">
        <f>IF(OR('Daily Check-In'!A334="",'Daily Check-In'!E334=""),"",'Daily Check-In'!E334)</f>
        <v/>
      </c>
    </row>
    <row r="335" spans="10:13">
      <c r="J335" s="8" t="str">
        <f>IF('Daily Check-In'!A335="","",'Daily Check-In'!A335)</f>
        <v/>
      </c>
      <c r="K335" t="str">
        <f>IF(OR('Daily Check-In'!A335="",'Daily Check-In'!C335=""),"",'Daily Check-In'!C335)</f>
        <v/>
      </c>
      <c r="L335" t="str">
        <f>IF(OR('Daily Check-In'!A335="",'Daily Check-In'!D335=""),"",'Daily Check-In'!D335)</f>
        <v/>
      </c>
      <c r="M335" t="str">
        <f>IF(OR('Daily Check-In'!A335="",'Daily Check-In'!E335=""),"",'Daily Check-In'!E335)</f>
        <v/>
      </c>
    </row>
    <row r="336" spans="10:13">
      <c r="J336" s="8" t="str">
        <f>IF('Daily Check-In'!A336="","",'Daily Check-In'!A336)</f>
        <v/>
      </c>
      <c r="K336" t="str">
        <f>IF(OR('Daily Check-In'!A336="",'Daily Check-In'!C336=""),"",'Daily Check-In'!C336)</f>
        <v/>
      </c>
      <c r="L336" t="str">
        <f>IF(OR('Daily Check-In'!A336="",'Daily Check-In'!D336=""),"",'Daily Check-In'!D336)</f>
        <v/>
      </c>
      <c r="M336" t="str">
        <f>IF(OR('Daily Check-In'!A336="",'Daily Check-In'!E336=""),"",'Daily Check-In'!E336)</f>
        <v/>
      </c>
    </row>
    <row r="337" spans="10:13">
      <c r="J337" s="8" t="str">
        <f>IF('Daily Check-In'!A337="","",'Daily Check-In'!A337)</f>
        <v/>
      </c>
      <c r="K337" t="str">
        <f>IF(OR('Daily Check-In'!A337="",'Daily Check-In'!C337=""),"",'Daily Check-In'!C337)</f>
        <v/>
      </c>
      <c r="L337" t="str">
        <f>IF(OR('Daily Check-In'!A337="",'Daily Check-In'!D337=""),"",'Daily Check-In'!D337)</f>
        <v/>
      </c>
      <c r="M337" t="str">
        <f>IF(OR('Daily Check-In'!A337="",'Daily Check-In'!E337=""),"",'Daily Check-In'!E337)</f>
        <v/>
      </c>
    </row>
    <row r="338" spans="10:13">
      <c r="J338" s="8" t="str">
        <f>IF('Daily Check-In'!A338="","",'Daily Check-In'!A338)</f>
        <v/>
      </c>
      <c r="K338" t="str">
        <f>IF(OR('Daily Check-In'!A338="",'Daily Check-In'!C338=""),"",'Daily Check-In'!C338)</f>
        <v/>
      </c>
      <c r="L338" t="str">
        <f>IF(OR('Daily Check-In'!A338="",'Daily Check-In'!D338=""),"",'Daily Check-In'!D338)</f>
        <v/>
      </c>
      <c r="M338" t="str">
        <f>IF(OR('Daily Check-In'!A338="",'Daily Check-In'!E338=""),"",'Daily Check-In'!E338)</f>
        <v/>
      </c>
    </row>
    <row r="339" spans="10:13">
      <c r="J339" s="8" t="str">
        <f>IF('Daily Check-In'!A339="","",'Daily Check-In'!A339)</f>
        <v/>
      </c>
      <c r="K339" t="str">
        <f>IF(OR('Daily Check-In'!A339="",'Daily Check-In'!C339=""),"",'Daily Check-In'!C339)</f>
        <v/>
      </c>
      <c r="L339" t="str">
        <f>IF(OR('Daily Check-In'!A339="",'Daily Check-In'!D339=""),"",'Daily Check-In'!D339)</f>
        <v/>
      </c>
      <c r="M339" t="str">
        <f>IF(OR('Daily Check-In'!A339="",'Daily Check-In'!E339=""),"",'Daily Check-In'!E339)</f>
        <v/>
      </c>
    </row>
    <row r="340" spans="10:13">
      <c r="J340" s="8" t="str">
        <f>IF('Daily Check-In'!A340="","",'Daily Check-In'!A340)</f>
        <v/>
      </c>
      <c r="K340" t="str">
        <f>IF(OR('Daily Check-In'!A340="",'Daily Check-In'!C340=""),"",'Daily Check-In'!C340)</f>
        <v/>
      </c>
      <c r="L340" t="str">
        <f>IF(OR('Daily Check-In'!A340="",'Daily Check-In'!D340=""),"",'Daily Check-In'!D340)</f>
        <v/>
      </c>
      <c r="M340" t="str">
        <f>IF(OR('Daily Check-In'!A340="",'Daily Check-In'!E340=""),"",'Daily Check-In'!E340)</f>
        <v/>
      </c>
    </row>
    <row r="341" spans="10:13">
      <c r="J341" s="8" t="str">
        <f>IF('Daily Check-In'!A341="","",'Daily Check-In'!A341)</f>
        <v/>
      </c>
      <c r="K341" t="str">
        <f>IF(OR('Daily Check-In'!A341="",'Daily Check-In'!C341=""),"",'Daily Check-In'!C341)</f>
        <v/>
      </c>
      <c r="L341" t="str">
        <f>IF(OR('Daily Check-In'!A341="",'Daily Check-In'!D341=""),"",'Daily Check-In'!D341)</f>
        <v/>
      </c>
      <c r="M341" t="str">
        <f>IF(OR('Daily Check-In'!A341="",'Daily Check-In'!E341=""),"",'Daily Check-In'!E341)</f>
        <v/>
      </c>
    </row>
    <row r="342" spans="10:13">
      <c r="J342" s="8" t="str">
        <f>IF('Daily Check-In'!A342="","",'Daily Check-In'!A342)</f>
        <v/>
      </c>
      <c r="K342" t="str">
        <f>IF(OR('Daily Check-In'!A342="",'Daily Check-In'!C342=""),"",'Daily Check-In'!C342)</f>
        <v/>
      </c>
      <c r="L342" t="str">
        <f>IF(OR('Daily Check-In'!A342="",'Daily Check-In'!D342=""),"",'Daily Check-In'!D342)</f>
        <v/>
      </c>
      <c r="M342" t="str">
        <f>IF(OR('Daily Check-In'!A342="",'Daily Check-In'!E342=""),"",'Daily Check-In'!E342)</f>
        <v/>
      </c>
    </row>
    <row r="343" spans="10:13">
      <c r="J343" s="8" t="str">
        <f>IF('Daily Check-In'!A343="","",'Daily Check-In'!A343)</f>
        <v/>
      </c>
      <c r="K343" t="str">
        <f>IF(OR('Daily Check-In'!A343="",'Daily Check-In'!C343=""),"",'Daily Check-In'!C343)</f>
        <v/>
      </c>
      <c r="L343" t="str">
        <f>IF(OR('Daily Check-In'!A343="",'Daily Check-In'!D343=""),"",'Daily Check-In'!D343)</f>
        <v/>
      </c>
      <c r="M343" t="str">
        <f>IF(OR('Daily Check-In'!A343="",'Daily Check-In'!E343=""),"",'Daily Check-In'!E343)</f>
        <v/>
      </c>
    </row>
    <row r="344" spans="10:13">
      <c r="J344" s="8" t="str">
        <f>IF('Daily Check-In'!A344="","",'Daily Check-In'!A344)</f>
        <v/>
      </c>
      <c r="K344" t="str">
        <f>IF(OR('Daily Check-In'!A344="",'Daily Check-In'!C344=""),"",'Daily Check-In'!C344)</f>
        <v/>
      </c>
      <c r="L344" t="str">
        <f>IF(OR('Daily Check-In'!A344="",'Daily Check-In'!D344=""),"",'Daily Check-In'!D344)</f>
        <v/>
      </c>
      <c r="M344" t="str">
        <f>IF(OR('Daily Check-In'!A344="",'Daily Check-In'!E344=""),"",'Daily Check-In'!E344)</f>
        <v/>
      </c>
    </row>
    <row r="345" spans="10:13">
      <c r="J345" s="8" t="str">
        <f>IF('Daily Check-In'!A345="","",'Daily Check-In'!A345)</f>
        <v/>
      </c>
      <c r="K345" t="str">
        <f>IF(OR('Daily Check-In'!A345="",'Daily Check-In'!C345=""),"",'Daily Check-In'!C345)</f>
        <v/>
      </c>
      <c r="L345" t="str">
        <f>IF(OR('Daily Check-In'!A345="",'Daily Check-In'!D345=""),"",'Daily Check-In'!D345)</f>
        <v/>
      </c>
      <c r="M345" t="str">
        <f>IF(OR('Daily Check-In'!A345="",'Daily Check-In'!E345=""),"",'Daily Check-In'!E345)</f>
        <v/>
      </c>
    </row>
    <row r="346" spans="10:13">
      <c r="J346" s="8" t="str">
        <f>IF('Daily Check-In'!A346="","",'Daily Check-In'!A346)</f>
        <v/>
      </c>
      <c r="K346" t="str">
        <f>IF(OR('Daily Check-In'!A346="",'Daily Check-In'!C346=""),"",'Daily Check-In'!C346)</f>
        <v/>
      </c>
      <c r="L346" t="str">
        <f>IF(OR('Daily Check-In'!A346="",'Daily Check-In'!D346=""),"",'Daily Check-In'!D346)</f>
        <v/>
      </c>
      <c r="M346" t="str">
        <f>IF(OR('Daily Check-In'!A346="",'Daily Check-In'!E346=""),"",'Daily Check-In'!E346)</f>
        <v/>
      </c>
    </row>
    <row r="347" spans="10:13">
      <c r="J347" s="8" t="str">
        <f>IF('Daily Check-In'!A347="","",'Daily Check-In'!A347)</f>
        <v/>
      </c>
      <c r="K347" t="str">
        <f>IF(OR('Daily Check-In'!A347="",'Daily Check-In'!C347=""),"",'Daily Check-In'!C347)</f>
        <v/>
      </c>
      <c r="L347" t="str">
        <f>IF(OR('Daily Check-In'!A347="",'Daily Check-In'!D347=""),"",'Daily Check-In'!D347)</f>
        <v/>
      </c>
      <c r="M347" t="str">
        <f>IF(OR('Daily Check-In'!A347="",'Daily Check-In'!E347=""),"",'Daily Check-In'!E347)</f>
        <v/>
      </c>
    </row>
    <row r="348" spans="10:13">
      <c r="J348" s="8" t="str">
        <f>IF('Daily Check-In'!A348="","",'Daily Check-In'!A348)</f>
        <v/>
      </c>
      <c r="K348" t="str">
        <f>IF(OR('Daily Check-In'!A348="",'Daily Check-In'!C348=""),"",'Daily Check-In'!C348)</f>
        <v/>
      </c>
      <c r="L348" t="str">
        <f>IF(OR('Daily Check-In'!A348="",'Daily Check-In'!D348=""),"",'Daily Check-In'!D348)</f>
        <v/>
      </c>
      <c r="M348" t="str">
        <f>IF(OR('Daily Check-In'!A348="",'Daily Check-In'!E348=""),"",'Daily Check-In'!E348)</f>
        <v/>
      </c>
    </row>
    <row r="349" spans="10:13">
      <c r="J349" s="8" t="str">
        <f>IF('Daily Check-In'!A349="","",'Daily Check-In'!A349)</f>
        <v/>
      </c>
      <c r="K349" t="str">
        <f>IF(OR('Daily Check-In'!A349="",'Daily Check-In'!C349=""),"",'Daily Check-In'!C349)</f>
        <v/>
      </c>
      <c r="L349" t="str">
        <f>IF(OR('Daily Check-In'!A349="",'Daily Check-In'!D349=""),"",'Daily Check-In'!D349)</f>
        <v/>
      </c>
      <c r="M349" t="str">
        <f>IF(OR('Daily Check-In'!A349="",'Daily Check-In'!E349=""),"",'Daily Check-In'!E349)</f>
        <v/>
      </c>
    </row>
    <row r="350" spans="10:13">
      <c r="J350" s="8" t="str">
        <f>IF('Daily Check-In'!A350="","",'Daily Check-In'!A350)</f>
        <v/>
      </c>
      <c r="K350" t="str">
        <f>IF(OR('Daily Check-In'!A350="",'Daily Check-In'!C350=""),"",'Daily Check-In'!C350)</f>
        <v/>
      </c>
      <c r="L350" t="str">
        <f>IF(OR('Daily Check-In'!A350="",'Daily Check-In'!D350=""),"",'Daily Check-In'!D350)</f>
        <v/>
      </c>
      <c r="M350" t="str">
        <f>IF(OR('Daily Check-In'!A350="",'Daily Check-In'!E350=""),"",'Daily Check-In'!E350)</f>
        <v/>
      </c>
    </row>
    <row r="351" spans="10:13">
      <c r="J351" s="8" t="str">
        <f>IF('Daily Check-In'!A351="","",'Daily Check-In'!A351)</f>
        <v/>
      </c>
      <c r="K351" t="str">
        <f>IF(OR('Daily Check-In'!A351="",'Daily Check-In'!C351=""),"",'Daily Check-In'!C351)</f>
        <v/>
      </c>
      <c r="L351" t="str">
        <f>IF(OR('Daily Check-In'!A351="",'Daily Check-In'!D351=""),"",'Daily Check-In'!D351)</f>
        <v/>
      </c>
      <c r="M351" t="str">
        <f>IF(OR('Daily Check-In'!A351="",'Daily Check-In'!E351=""),"",'Daily Check-In'!E351)</f>
        <v/>
      </c>
    </row>
    <row r="352" spans="10:13">
      <c r="J352" s="8" t="str">
        <f>IF('Daily Check-In'!A352="","",'Daily Check-In'!A352)</f>
        <v/>
      </c>
      <c r="K352" t="str">
        <f>IF(OR('Daily Check-In'!A352="",'Daily Check-In'!C352=""),"",'Daily Check-In'!C352)</f>
        <v/>
      </c>
      <c r="L352" t="str">
        <f>IF(OR('Daily Check-In'!A352="",'Daily Check-In'!D352=""),"",'Daily Check-In'!D352)</f>
        <v/>
      </c>
      <c r="M352" t="str">
        <f>IF(OR('Daily Check-In'!A352="",'Daily Check-In'!E352=""),"",'Daily Check-In'!E352)</f>
        <v/>
      </c>
    </row>
    <row r="353" spans="10:13">
      <c r="J353" s="8" t="str">
        <f>IF('Daily Check-In'!A353="","",'Daily Check-In'!A353)</f>
        <v/>
      </c>
      <c r="K353" t="str">
        <f>IF(OR('Daily Check-In'!A353="",'Daily Check-In'!C353=""),"",'Daily Check-In'!C353)</f>
        <v/>
      </c>
      <c r="L353" t="str">
        <f>IF(OR('Daily Check-In'!A353="",'Daily Check-In'!D353=""),"",'Daily Check-In'!D353)</f>
        <v/>
      </c>
      <c r="M353" t="str">
        <f>IF(OR('Daily Check-In'!A353="",'Daily Check-In'!E353=""),"",'Daily Check-In'!E353)</f>
        <v/>
      </c>
    </row>
    <row r="354" spans="10:13">
      <c r="J354" s="8" t="str">
        <f>IF('Daily Check-In'!A354="","",'Daily Check-In'!A354)</f>
        <v/>
      </c>
      <c r="K354" t="str">
        <f>IF(OR('Daily Check-In'!A354="",'Daily Check-In'!C354=""),"",'Daily Check-In'!C354)</f>
        <v/>
      </c>
      <c r="L354" t="str">
        <f>IF(OR('Daily Check-In'!A354="",'Daily Check-In'!D354=""),"",'Daily Check-In'!D354)</f>
        <v/>
      </c>
      <c r="M354" t="str">
        <f>IF(OR('Daily Check-In'!A354="",'Daily Check-In'!E354=""),"",'Daily Check-In'!E354)</f>
        <v/>
      </c>
    </row>
    <row r="355" spans="10:13">
      <c r="J355" s="8" t="str">
        <f>IF('Daily Check-In'!A355="","",'Daily Check-In'!A355)</f>
        <v/>
      </c>
      <c r="K355" t="str">
        <f>IF(OR('Daily Check-In'!A355="",'Daily Check-In'!C355=""),"",'Daily Check-In'!C355)</f>
        <v/>
      </c>
      <c r="L355" t="str">
        <f>IF(OR('Daily Check-In'!A355="",'Daily Check-In'!D355=""),"",'Daily Check-In'!D355)</f>
        <v/>
      </c>
      <c r="M355" t="str">
        <f>IF(OR('Daily Check-In'!A355="",'Daily Check-In'!E355=""),"",'Daily Check-In'!E355)</f>
        <v/>
      </c>
    </row>
    <row r="356" spans="10:13">
      <c r="J356" s="8" t="str">
        <f>IF('Daily Check-In'!A356="","",'Daily Check-In'!A356)</f>
        <v/>
      </c>
      <c r="K356" t="str">
        <f>IF(OR('Daily Check-In'!A356="",'Daily Check-In'!C356=""),"",'Daily Check-In'!C356)</f>
        <v/>
      </c>
      <c r="L356" t="str">
        <f>IF(OR('Daily Check-In'!A356="",'Daily Check-In'!D356=""),"",'Daily Check-In'!D356)</f>
        <v/>
      </c>
      <c r="M356" t="str">
        <f>IF(OR('Daily Check-In'!A356="",'Daily Check-In'!E356=""),"",'Daily Check-In'!E356)</f>
        <v/>
      </c>
    </row>
    <row r="357" spans="10:13">
      <c r="J357" s="8" t="str">
        <f>IF('Daily Check-In'!A357="","",'Daily Check-In'!A357)</f>
        <v/>
      </c>
      <c r="K357" t="str">
        <f>IF(OR('Daily Check-In'!A357="",'Daily Check-In'!C357=""),"",'Daily Check-In'!C357)</f>
        <v/>
      </c>
      <c r="L357" t="str">
        <f>IF(OR('Daily Check-In'!A357="",'Daily Check-In'!D357=""),"",'Daily Check-In'!D357)</f>
        <v/>
      </c>
      <c r="M357" t="str">
        <f>IF(OR('Daily Check-In'!A357="",'Daily Check-In'!E357=""),"",'Daily Check-In'!E357)</f>
        <v/>
      </c>
    </row>
    <row r="358" spans="10:13">
      <c r="J358" s="8" t="str">
        <f>IF('Daily Check-In'!A358="","",'Daily Check-In'!A358)</f>
        <v/>
      </c>
      <c r="K358" t="str">
        <f>IF(OR('Daily Check-In'!A358="",'Daily Check-In'!C358=""),"",'Daily Check-In'!C358)</f>
        <v/>
      </c>
      <c r="L358" t="str">
        <f>IF(OR('Daily Check-In'!A358="",'Daily Check-In'!D358=""),"",'Daily Check-In'!D358)</f>
        <v/>
      </c>
      <c r="M358" t="str">
        <f>IF(OR('Daily Check-In'!A358="",'Daily Check-In'!E358=""),"",'Daily Check-In'!E358)</f>
        <v/>
      </c>
    </row>
    <row r="359" spans="10:13">
      <c r="J359" s="8" t="str">
        <f>IF('Daily Check-In'!A359="","",'Daily Check-In'!A359)</f>
        <v/>
      </c>
      <c r="K359" t="str">
        <f>IF(OR('Daily Check-In'!A359="",'Daily Check-In'!C359=""),"",'Daily Check-In'!C359)</f>
        <v/>
      </c>
      <c r="L359" t="str">
        <f>IF(OR('Daily Check-In'!A359="",'Daily Check-In'!D359=""),"",'Daily Check-In'!D359)</f>
        <v/>
      </c>
      <c r="M359" t="str">
        <f>IF(OR('Daily Check-In'!A359="",'Daily Check-In'!E359=""),"",'Daily Check-In'!E359)</f>
        <v/>
      </c>
    </row>
    <row r="360" spans="10:13">
      <c r="J360" s="8" t="str">
        <f>IF('Daily Check-In'!A360="","",'Daily Check-In'!A360)</f>
        <v/>
      </c>
      <c r="K360" t="str">
        <f>IF(OR('Daily Check-In'!A360="",'Daily Check-In'!C360=""),"",'Daily Check-In'!C360)</f>
        <v/>
      </c>
      <c r="L360" t="str">
        <f>IF(OR('Daily Check-In'!A360="",'Daily Check-In'!D360=""),"",'Daily Check-In'!D360)</f>
        <v/>
      </c>
      <c r="M360" t="str">
        <f>IF(OR('Daily Check-In'!A360="",'Daily Check-In'!E360=""),"",'Daily Check-In'!E360)</f>
        <v/>
      </c>
    </row>
    <row r="361" spans="10:13">
      <c r="J361" s="8" t="str">
        <f>IF('Daily Check-In'!A361="","",'Daily Check-In'!A361)</f>
        <v/>
      </c>
      <c r="K361" t="str">
        <f>IF(OR('Daily Check-In'!A361="",'Daily Check-In'!C361=""),"",'Daily Check-In'!C361)</f>
        <v/>
      </c>
      <c r="L361" t="str">
        <f>IF(OR('Daily Check-In'!A361="",'Daily Check-In'!D361=""),"",'Daily Check-In'!D361)</f>
        <v/>
      </c>
      <c r="M361" t="str">
        <f>IF(OR('Daily Check-In'!A361="",'Daily Check-In'!E361=""),"",'Daily Check-In'!E361)</f>
        <v/>
      </c>
    </row>
    <row r="362" spans="10:13">
      <c r="J362" s="8" t="str">
        <f>IF('Daily Check-In'!A362="","",'Daily Check-In'!A362)</f>
        <v/>
      </c>
      <c r="K362" t="str">
        <f>IF(OR('Daily Check-In'!A362="",'Daily Check-In'!C362=""),"",'Daily Check-In'!C362)</f>
        <v/>
      </c>
      <c r="L362" t="str">
        <f>IF(OR('Daily Check-In'!A362="",'Daily Check-In'!D362=""),"",'Daily Check-In'!D362)</f>
        <v/>
      </c>
      <c r="M362" t="str">
        <f>IF(OR('Daily Check-In'!A362="",'Daily Check-In'!E362=""),"",'Daily Check-In'!E362)</f>
        <v/>
      </c>
    </row>
    <row r="363" spans="10:13">
      <c r="J363" s="8" t="str">
        <f>IF('Daily Check-In'!A363="","",'Daily Check-In'!A363)</f>
        <v/>
      </c>
      <c r="K363" t="str">
        <f>IF(OR('Daily Check-In'!A363="",'Daily Check-In'!C363=""),"",'Daily Check-In'!C363)</f>
        <v/>
      </c>
      <c r="L363" t="str">
        <f>IF(OR('Daily Check-In'!A363="",'Daily Check-In'!D363=""),"",'Daily Check-In'!D363)</f>
        <v/>
      </c>
      <c r="M363" t="str">
        <f>IF(OR('Daily Check-In'!A363="",'Daily Check-In'!E363=""),"",'Daily Check-In'!E363)</f>
        <v/>
      </c>
    </row>
    <row r="364" spans="10:13">
      <c r="J364" s="8" t="str">
        <f>IF('Daily Check-In'!A364="","",'Daily Check-In'!A364)</f>
        <v/>
      </c>
      <c r="K364" t="str">
        <f>IF(OR('Daily Check-In'!A364="",'Daily Check-In'!C364=""),"",'Daily Check-In'!C364)</f>
        <v/>
      </c>
      <c r="L364" t="str">
        <f>IF(OR('Daily Check-In'!A364="",'Daily Check-In'!D364=""),"",'Daily Check-In'!D364)</f>
        <v/>
      </c>
      <c r="M364" t="str">
        <f>IF(OR('Daily Check-In'!A364="",'Daily Check-In'!E364=""),"",'Daily Check-In'!E364)</f>
        <v/>
      </c>
    </row>
    <row r="365" spans="10:13">
      <c r="J365" s="8" t="str">
        <f>IF('Daily Check-In'!A365="","",'Daily Check-In'!A365)</f>
        <v/>
      </c>
      <c r="K365" t="str">
        <f>IF(OR('Daily Check-In'!A365="",'Daily Check-In'!C365=""),"",'Daily Check-In'!C365)</f>
        <v/>
      </c>
      <c r="L365" t="str">
        <f>IF(OR('Daily Check-In'!A365="",'Daily Check-In'!D365=""),"",'Daily Check-In'!D365)</f>
        <v/>
      </c>
      <c r="M365" t="str">
        <f>IF(OR('Daily Check-In'!A365="",'Daily Check-In'!E365=""),"",'Daily Check-In'!E365)</f>
        <v/>
      </c>
    </row>
    <row r="366" spans="10:13">
      <c r="J366" s="8" t="str">
        <f>IF('Daily Check-In'!A366="","",'Daily Check-In'!A366)</f>
        <v/>
      </c>
      <c r="K366" t="str">
        <f>IF(OR('Daily Check-In'!A366="",'Daily Check-In'!C366=""),"",'Daily Check-In'!C366)</f>
        <v/>
      </c>
      <c r="L366" t="str">
        <f>IF(OR('Daily Check-In'!A366="",'Daily Check-In'!D366=""),"",'Daily Check-In'!D366)</f>
        <v/>
      </c>
      <c r="M366" t="str">
        <f>IF(OR('Daily Check-In'!A366="",'Daily Check-In'!E366=""),"",'Daily Check-In'!E366)</f>
        <v/>
      </c>
    </row>
    <row r="367" spans="10:13">
      <c r="J367" s="8" t="str">
        <f>IF('Daily Check-In'!A367="","",'Daily Check-In'!A367)</f>
        <v/>
      </c>
      <c r="K367" t="str">
        <f>IF(OR('Daily Check-In'!A367="",'Daily Check-In'!C367=""),"",'Daily Check-In'!C367)</f>
        <v/>
      </c>
      <c r="L367" t="str">
        <f>IF(OR('Daily Check-In'!A367="",'Daily Check-In'!D367=""),"",'Daily Check-In'!D367)</f>
        <v/>
      </c>
      <c r="M367" t="str">
        <f>IF(OR('Daily Check-In'!A367="",'Daily Check-In'!E367=""),"",'Daily Check-In'!E367)</f>
        <v/>
      </c>
    </row>
    <row r="368" spans="10:13">
      <c r="J368" s="8" t="str">
        <f>IF('Daily Check-In'!A368="","",'Daily Check-In'!A368)</f>
        <v/>
      </c>
      <c r="K368" t="str">
        <f>IF(OR('Daily Check-In'!A368="",'Daily Check-In'!C368=""),"",'Daily Check-In'!C368)</f>
        <v/>
      </c>
      <c r="L368" t="str">
        <f>IF(OR('Daily Check-In'!A368="",'Daily Check-In'!D368=""),"",'Daily Check-In'!D368)</f>
        <v/>
      </c>
      <c r="M368" t="str">
        <f>IF(OR('Daily Check-In'!A368="",'Daily Check-In'!E368=""),"",'Daily Check-In'!E368)</f>
        <v/>
      </c>
    </row>
    <row r="369" spans="10:13">
      <c r="J369" s="8" t="str">
        <f>IF('Daily Check-In'!A369="","",'Daily Check-In'!A369)</f>
        <v/>
      </c>
      <c r="K369" t="str">
        <f>IF(OR('Daily Check-In'!A369="",'Daily Check-In'!C369=""),"",'Daily Check-In'!C369)</f>
        <v/>
      </c>
      <c r="L369" t="str">
        <f>IF(OR('Daily Check-In'!A369="",'Daily Check-In'!D369=""),"",'Daily Check-In'!D369)</f>
        <v/>
      </c>
      <c r="M369" t="str">
        <f>IF(OR('Daily Check-In'!A369="",'Daily Check-In'!E369=""),"",'Daily Check-In'!E369)</f>
        <v/>
      </c>
    </row>
    <row r="370" spans="10:13">
      <c r="J370" s="8" t="str">
        <f>IF('Daily Check-In'!A370="","",'Daily Check-In'!A370)</f>
        <v/>
      </c>
      <c r="K370" t="str">
        <f>IF(OR('Daily Check-In'!A370="",'Daily Check-In'!C370=""),"",'Daily Check-In'!C370)</f>
        <v/>
      </c>
      <c r="L370" t="str">
        <f>IF(OR('Daily Check-In'!A370="",'Daily Check-In'!D370=""),"",'Daily Check-In'!D370)</f>
        <v/>
      </c>
      <c r="M370" t="str">
        <f>IF(OR('Daily Check-In'!A370="",'Daily Check-In'!E370=""),"",'Daily Check-In'!E370)</f>
        <v/>
      </c>
    </row>
  </sheetData>
  <mergeCells count="34">
    <mergeCell ref="A21:H21"/>
    <mergeCell ref="A22:H22"/>
    <mergeCell ref="A23:H23"/>
    <mergeCell ref="A24:H24"/>
    <mergeCell ref="A17:B17"/>
    <mergeCell ref="C17:D17"/>
    <mergeCell ref="E17:F17"/>
    <mergeCell ref="G17:H17"/>
    <mergeCell ref="A20:H20"/>
    <mergeCell ref="A16:B16"/>
    <mergeCell ref="C16:D16"/>
    <mergeCell ref="E16:F16"/>
    <mergeCell ref="G16:H16"/>
    <mergeCell ref="A11:B11"/>
    <mergeCell ref="C11:D11"/>
    <mergeCell ref="E11:F11"/>
    <mergeCell ref="G11:H11"/>
    <mergeCell ref="A14:B14"/>
    <mergeCell ref="C14:D14"/>
    <mergeCell ref="E14:F14"/>
    <mergeCell ref="G14:H14"/>
    <mergeCell ref="A10:B10"/>
    <mergeCell ref="C10:D10"/>
    <mergeCell ref="E10:F10"/>
    <mergeCell ref="G10:H10"/>
    <mergeCell ref="A13:B13"/>
    <mergeCell ref="C13:D13"/>
    <mergeCell ref="E13:F13"/>
    <mergeCell ref="G13:H13"/>
    <mergeCell ref="A1:H2"/>
    <mergeCell ref="A3:H3"/>
    <mergeCell ref="A5:H5"/>
    <mergeCell ref="A7:H7"/>
    <mergeCell ref="A9:H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7"/>
  <sheetViews>
    <sheetView topLeftCell="A4" workbookViewId="0">
      <selection activeCell="K23" sqref="K23"/>
    </sheetView>
  </sheetViews>
  <sheetFormatPr defaultRowHeight="14.25"/>
  <cols>
    <col min="1" max="1" width="31" customWidth="1"/>
    <col min="2" max="2" width="3" customWidth="1"/>
    <col min="3" max="3" width="31" customWidth="1"/>
    <col min="4" max="4" width="3" customWidth="1"/>
    <col min="5" max="5" width="31" customWidth="1"/>
    <col min="6" max="6" width="3" customWidth="1"/>
    <col min="7" max="7" width="31" customWidth="1"/>
  </cols>
  <sheetData>
    <row r="1" spans="1:7">
      <c r="A1" s="38" t="s">
        <v>728</v>
      </c>
      <c r="B1" s="38"/>
      <c r="C1" s="38"/>
      <c r="D1" s="38"/>
      <c r="E1" s="38"/>
      <c r="F1" s="38"/>
      <c r="G1" s="38"/>
    </row>
    <row r="2" spans="1:7">
      <c r="A2" s="38"/>
      <c r="B2" s="38"/>
      <c r="C2" s="38"/>
      <c r="D2" s="38"/>
      <c r="E2" s="38"/>
      <c r="F2" s="38"/>
      <c r="G2" s="38"/>
    </row>
    <row r="3" spans="1:7">
      <c r="A3" s="39" t="s">
        <v>729</v>
      </c>
      <c r="B3" s="39"/>
      <c r="C3" s="39"/>
      <c r="D3" s="39"/>
      <c r="E3" s="39"/>
      <c r="F3" s="39"/>
      <c r="G3" s="39"/>
    </row>
    <row r="4" spans="1:7">
      <c r="A4" s="40" t="s">
        <v>730</v>
      </c>
      <c r="B4" s="40"/>
      <c r="C4" s="40"/>
      <c r="D4" s="40"/>
      <c r="E4" s="40"/>
      <c r="F4" s="40"/>
      <c r="G4" s="40"/>
    </row>
    <row r="6" spans="1:7">
      <c r="A6" t="s">
        <v>731</v>
      </c>
      <c r="C6" t="s">
        <v>732</v>
      </c>
      <c r="E6" t="s">
        <v>733</v>
      </c>
      <c r="G6" t="s">
        <v>124</v>
      </c>
    </row>
    <row r="7" spans="1:7">
      <c r="A7" t="s">
        <v>734</v>
      </c>
      <c r="C7" t="s">
        <v>64</v>
      </c>
      <c r="E7" t="s">
        <v>64</v>
      </c>
      <c r="G7" t="s">
        <v>735</v>
      </c>
    </row>
    <row r="8" spans="1:7">
      <c r="A8" t="s">
        <v>736</v>
      </c>
      <c r="C8" t="s">
        <v>81</v>
      </c>
      <c r="E8" t="s">
        <v>81</v>
      </c>
      <c r="G8" t="s">
        <v>737</v>
      </c>
    </row>
    <row r="9" spans="1:7">
      <c r="A9" t="s">
        <v>738</v>
      </c>
      <c r="E9" t="s">
        <v>739</v>
      </c>
      <c r="G9" t="s">
        <v>740</v>
      </c>
    </row>
    <row r="10" spans="1:7">
      <c r="A10" t="s">
        <v>67</v>
      </c>
      <c r="G10" t="s">
        <v>741</v>
      </c>
    </row>
    <row r="11" spans="1:7">
      <c r="A11" t="s">
        <v>742</v>
      </c>
      <c r="G11" t="s">
        <v>743</v>
      </c>
    </row>
    <row r="12" spans="1:7">
      <c r="A12" t="s">
        <v>744</v>
      </c>
      <c r="G12" t="s">
        <v>745</v>
      </c>
    </row>
    <row r="13" spans="1:7">
      <c r="A13" t="s">
        <v>746</v>
      </c>
      <c r="G13" t="s">
        <v>747</v>
      </c>
    </row>
    <row r="14" spans="1:7">
      <c r="A14" t="s">
        <v>748</v>
      </c>
      <c r="G14" t="s">
        <v>749</v>
      </c>
    </row>
    <row r="15" spans="1:7">
      <c r="G15" t="s">
        <v>750</v>
      </c>
    </row>
    <row r="16" spans="1:7">
      <c r="G16" t="s">
        <v>751</v>
      </c>
    </row>
    <row r="17" spans="1:7">
      <c r="G17" t="s">
        <v>752</v>
      </c>
    </row>
    <row r="30" spans="1:7">
      <c r="A30" t="s">
        <v>227</v>
      </c>
      <c r="C30" t="s">
        <v>753</v>
      </c>
      <c r="E30" t="s">
        <v>754</v>
      </c>
      <c r="G30" t="s">
        <v>246</v>
      </c>
    </row>
    <row r="31" spans="1:7">
      <c r="A31" t="s">
        <v>247</v>
      </c>
      <c r="C31" t="s">
        <v>64</v>
      </c>
      <c r="E31" t="s">
        <v>64</v>
      </c>
      <c r="G31" t="s">
        <v>755</v>
      </c>
    </row>
    <row r="32" spans="1:7">
      <c r="A32" t="s">
        <v>251</v>
      </c>
      <c r="C32" t="s">
        <v>81</v>
      </c>
      <c r="E32" t="s">
        <v>81</v>
      </c>
      <c r="G32" t="s">
        <v>756</v>
      </c>
    </row>
    <row r="33" spans="1:7">
      <c r="A33" t="s">
        <v>257</v>
      </c>
      <c r="C33" t="s">
        <v>250</v>
      </c>
      <c r="E33" t="s">
        <v>253</v>
      </c>
      <c r="G33" t="s">
        <v>248</v>
      </c>
    </row>
    <row r="34" spans="1:7">
      <c r="A34" t="s">
        <v>260</v>
      </c>
      <c r="E34" t="s">
        <v>757</v>
      </c>
      <c r="G34" t="s">
        <v>258</v>
      </c>
    </row>
    <row r="35" spans="1:7">
      <c r="A35" t="s">
        <v>250</v>
      </c>
      <c r="G35" t="s">
        <v>263</v>
      </c>
    </row>
    <row r="36" spans="1:7">
      <c r="G36" t="s">
        <v>758</v>
      </c>
    </row>
    <row r="54" spans="1:7">
      <c r="A54" t="s">
        <v>759</v>
      </c>
      <c r="C54" t="s">
        <v>760</v>
      </c>
      <c r="E54" t="s">
        <v>761</v>
      </c>
      <c r="G54" t="s">
        <v>762</v>
      </c>
    </row>
    <row r="55" spans="1:7">
      <c r="A55" t="s">
        <v>317</v>
      </c>
      <c r="C55" t="s">
        <v>64</v>
      </c>
      <c r="E55" t="s">
        <v>404</v>
      </c>
      <c r="G55" t="s">
        <v>405</v>
      </c>
    </row>
    <row r="56" spans="1:7">
      <c r="A56" t="s">
        <v>282</v>
      </c>
      <c r="C56" t="s">
        <v>81</v>
      </c>
      <c r="E56" t="s">
        <v>413</v>
      </c>
      <c r="G56" t="s">
        <v>758</v>
      </c>
    </row>
    <row r="57" spans="1:7">
      <c r="A57" t="s">
        <v>325</v>
      </c>
      <c r="C57" t="s">
        <v>253</v>
      </c>
      <c r="E57" t="s">
        <v>763</v>
      </c>
      <c r="G57" t="s">
        <v>764</v>
      </c>
    </row>
    <row r="58" spans="1:7">
      <c r="A58" t="s">
        <v>339</v>
      </c>
      <c r="C58" t="s">
        <v>250</v>
      </c>
      <c r="E58" t="s">
        <v>421</v>
      </c>
      <c r="G58" t="s">
        <v>765</v>
      </c>
    </row>
    <row r="59" spans="1:7">
      <c r="A59" t="s">
        <v>766</v>
      </c>
      <c r="E59" t="s">
        <v>767</v>
      </c>
      <c r="G59" t="s">
        <v>768</v>
      </c>
    </row>
    <row r="60" spans="1:7">
      <c r="A60" t="s">
        <v>769</v>
      </c>
      <c r="E60" t="s">
        <v>770</v>
      </c>
      <c r="G60" t="s">
        <v>771</v>
      </c>
    </row>
    <row r="61" spans="1:7">
      <c r="E61" t="s">
        <v>427</v>
      </c>
    </row>
    <row r="62" spans="1:7">
      <c r="E62" t="s">
        <v>772</v>
      </c>
    </row>
    <row r="63" spans="1:7">
      <c r="E63" t="s">
        <v>773</v>
      </c>
    </row>
    <row r="64" spans="1:7">
      <c r="E64" t="s">
        <v>748</v>
      </c>
    </row>
    <row r="78" spans="1:7">
      <c r="A78" t="s">
        <v>774</v>
      </c>
      <c r="C78" t="s">
        <v>775</v>
      </c>
      <c r="E78" t="s">
        <v>776</v>
      </c>
      <c r="G78" t="s">
        <v>777</v>
      </c>
    </row>
    <row r="79" spans="1:7">
      <c r="A79" t="s">
        <v>64</v>
      </c>
      <c r="C79" t="s">
        <v>443</v>
      </c>
      <c r="E79" t="s">
        <v>487</v>
      </c>
      <c r="G79" t="s">
        <v>64</v>
      </c>
    </row>
    <row r="80" spans="1:7">
      <c r="A80" t="s">
        <v>81</v>
      </c>
      <c r="C80" t="s">
        <v>778</v>
      </c>
      <c r="E80" t="s">
        <v>496</v>
      </c>
      <c r="G80" t="s">
        <v>81</v>
      </c>
    </row>
    <row r="81" spans="1:7">
      <c r="A81" t="s">
        <v>779</v>
      </c>
      <c r="C81" t="s">
        <v>780</v>
      </c>
      <c r="E81" t="s">
        <v>512</v>
      </c>
      <c r="G81" t="s">
        <v>757</v>
      </c>
    </row>
    <row r="82" spans="1:7">
      <c r="C82" t="s">
        <v>449</v>
      </c>
      <c r="E82" t="s">
        <v>480</v>
      </c>
    </row>
    <row r="83" spans="1:7">
      <c r="C83" t="s">
        <v>781</v>
      </c>
      <c r="E83" t="s">
        <v>782</v>
      </c>
    </row>
    <row r="84" spans="1:7">
      <c r="C84" t="s">
        <v>783</v>
      </c>
      <c r="E84" t="s">
        <v>748</v>
      </c>
    </row>
    <row r="85" spans="1:7">
      <c r="C85" t="s">
        <v>764</v>
      </c>
    </row>
    <row r="86" spans="1:7">
      <c r="C86" t="s">
        <v>748</v>
      </c>
    </row>
    <row r="102" spans="1:7">
      <c r="A102" t="s">
        <v>784</v>
      </c>
      <c r="C102" t="s">
        <v>785</v>
      </c>
      <c r="E102" t="s">
        <v>786</v>
      </c>
      <c r="G102" t="s">
        <v>599</v>
      </c>
    </row>
    <row r="103" spans="1:7">
      <c r="A103" t="s">
        <v>502</v>
      </c>
      <c r="C103" t="s">
        <v>207</v>
      </c>
      <c r="E103" t="s">
        <v>550</v>
      </c>
      <c r="G103" t="s">
        <v>787</v>
      </c>
    </row>
    <row r="104" spans="1:7">
      <c r="A104" t="s">
        <v>509</v>
      </c>
      <c r="C104" t="s">
        <v>538</v>
      </c>
      <c r="E104" t="s">
        <v>535</v>
      </c>
      <c r="G104" t="s">
        <v>630</v>
      </c>
    </row>
    <row r="105" spans="1:7">
      <c r="A105" t="s">
        <v>788</v>
      </c>
      <c r="C105" t="s">
        <v>285</v>
      </c>
      <c r="E105" t="s">
        <v>501</v>
      </c>
      <c r="G105" t="s">
        <v>789</v>
      </c>
    </row>
    <row r="106" spans="1:7">
      <c r="A106" t="s">
        <v>515</v>
      </c>
      <c r="C106" t="s">
        <v>790</v>
      </c>
      <c r="E106" t="s">
        <v>250</v>
      </c>
      <c r="G106" t="s">
        <v>611</v>
      </c>
    </row>
    <row r="107" spans="1:7">
      <c r="A107" t="s">
        <v>484</v>
      </c>
      <c r="C107" t="s">
        <v>566</v>
      </c>
      <c r="G107" t="s">
        <v>622</v>
      </c>
    </row>
    <row r="108" spans="1:7">
      <c r="C108" t="s">
        <v>791</v>
      </c>
      <c r="G108" t="s">
        <v>748</v>
      </c>
    </row>
    <row r="109" spans="1:7">
      <c r="C109" t="s">
        <v>792</v>
      </c>
    </row>
    <row r="110" spans="1:7">
      <c r="C110" t="s">
        <v>557</v>
      </c>
    </row>
    <row r="111" spans="1:7">
      <c r="C111" t="s">
        <v>793</v>
      </c>
    </row>
    <row r="112" spans="1:7">
      <c r="C112" t="s">
        <v>794</v>
      </c>
    </row>
    <row r="113" spans="1:5">
      <c r="C113" t="s">
        <v>795</v>
      </c>
    </row>
    <row r="114" spans="1:5">
      <c r="C114" t="s">
        <v>356</v>
      </c>
    </row>
    <row r="115" spans="1:5">
      <c r="C115" t="s">
        <v>796</v>
      </c>
    </row>
    <row r="116" spans="1:5">
      <c r="C116" t="s">
        <v>548</v>
      </c>
    </row>
    <row r="117" spans="1:5">
      <c r="C117" t="s">
        <v>748</v>
      </c>
    </row>
    <row r="126" spans="1:5">
      <c r="A126" t="s">
        <v>797</v>
      </c>
      <c r="C126" t="s">
        <v>798</v>
      </c>
      <c r="E126" t="s">
        <v>799</v>
      </c>
    </row>
    <row r="127" spans="1:5">
      <c r="A127" t="s">
        <v>404</v>
      </c>
      <c r="C127" t="s">
        <v>800</v>
      </c>
      <c r="E127" t="s">
        <v>683</v>
      </c>
    </row>
    <row r="128" spans="1:5">
      <c r="A128" t="s">
        <v>649</v>
      </c>
      <c r="C128" t="s">
        <v>670</v>
      </c>
      <c r="E128" t="s">
        <v>688</v>
      </c>
    </row>
    <row r="129" spans="1:5">
      <c r="A129" t="s">
        <v>801</v>
      </c>
      <c r="C129" t="s">
        <v>451</v>
      </c>
      <c r="E129" t="s">
        <v>802</v>
      </c>
    </row>
    <row r="130" spans="1:5">
      <c r="A130" t="s">
        <v>803</v>
      </c>
      <c r="C130" t="s">
        <v>804</v>
      </c>
      <c r="E130" t="s">
        <v>700</v>
      </c>
    </row>
    <row r="131" spans="1:5">
      <c r="A131" t="s">
        <v>669</v>
      </c>
      <c r="C131" t="s">
        <v>805</v>
      </c>
      <c r="E131" t="s">
        <v>806</v>
      </c>
    </row>
    <row r="132" spans="1:5">
      <c r="A132" t="s">
        <v>773</v>
      </c>
      <c r="C132" t="s">
        <v>662</v>
      </c>
      <c r="E132" t="s">
        <v>694</v>
      </c>
    </row>
    <row r="133" spans="1:5">
      <c r="A133" t="s">
        <v>767</v>
      </c>
      <c r="C133" t="s">
        <v>807</v>
      </c>
      <c r="E133" t="s">
        <v>748</v>
      </c>
    </row>
    <row r="134" spans="1:5">
      <c r="A134" t="s">
        <v>808</v>
      </c>
      <c r="C134" t="s">
        <v>809</v>
      </c>
    </row>
    <row r="135" spans="1:5">
      <c r="A135" t="s">
        <v>810</v>
      </c>
      <c r="C135" t="s">
        <v>811</v>
      </c>
    </row>
    <row r="136" spans="1:5">
      <c r="A136" t="s">
        <v>748</v>
      </c>
      <c r="C136" t="s">
        <v>812</v>
      </c>
    </row>
    <row r="137" spans="1:5">
      <c r="C137" t="s">
        <v>748</v>
      </c>
    </row>
  </sheetData>
  <mergeCells count="3">
    <mergeCell ref="A1:G2"/>
    <mergeCell ref="A3:G3"/>
    <mergeCell ref="A4:G4"/>
  </mergeCell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 HERE</vt:lpstr>
      <vt:lpstr>Profile &amp; Goals</vt:lpstr>
      <vt:lpstr>Customize</vt:lpstr>
      <vt:lpstr>Daily Check-In</vt:lpstr>
      <vt:lpstr>Symptom Log</vt:lpstr>
      <vt:lpstr>Flare Log</vt:lpstr>
      <vt:lpstr>Treatments</vt:lpstr>
      <vt:lpstr>Treatment Events</vt:lpstr>
      <vt:lpstr>AIP &amp; Nutrition</vt:lpstr>
      <vt:lpstr>Lifestyle &amp; Triggers</vt:lpstr>
      <vt:lpstr>Labs</vt:lpstr>
      <vt:lpstr>Appointments</vt:lpstr>
      <vt:lpstr>Care Access</vt:lpstr>
      <vt:lpstr>Diagnostic Journey</vt:lpstr>
      <vt:lpstr>Dashboard</vt:lpstr>
      <vt:lpstr>Customize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</dc:creator>
  <cp:lastModifiedBy>L. Anderson</cp:lastModifiedBy>
  <dcterms:created xsi:type="dcterms:W3CDTF">2026-10-07T21:36:38Z</dcterms:created>
  <dcterms:modified xsi:type="dcterms:W3CDTF">2026-10-07T21:36:38Z</dcterms:modified>
</cp:coreProperties>
</file>