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0F1021EA601D6BB/Documents/"/>
    </mc:Choice>
  </mc:AlternateContent>
  <xr:revisionPtr revIDLastSave="4" documentId="8_{0FA1E62A-714A-4A3E-BDB6-E8F63FDB8898}" xr6:coauthVersionLast="47" xr6:coauthVersionMax="47" xr10:uidLastSave="{B01F2AF9-0EFE-4AEC-A5C4-B065D8241FF8}"/>
  <bookViews>
    <workbookView xWindow="-120" yWindow="-120" windowWidth="29040" windowHeight="15720" xr2:uid="{00000000-000D-0000-FFFF-FFFF00000000}"/>
  </bookViews>
  <sheets>
    <sheet name="Vet Report" sheetId="1" r:id="rId1"/>
    <sheet name="Daily Check In" sheetId="2" r:id="rId2"/>
    <sheet name="Coat &amp; Skin" sheetId="3" r:id="rId3"/>
    <sheet name="Changes &amp; Events" sheetId="4" r:id="rId4"/>
    <sheet name="Treatment Plan" sheetId="5" r:id="rId5"/>
    <sheet name="Setup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5" l="1"/>
  <c r="F4" i="5"/>
  <c r="F23" i="1" s="1"/>
  <c r="E9" i="5"/>
  <c r="E8" i="5"/>
  <c r="F22" i="1"/>
  <c r="F21" i="1"/>
  <c r="F20" i="1"/>
  <c r="F19" i="1"/>
  <c r="F18" i="1"/>
  <c r="F17" i="1"/>
  <c r="F16" i="1"/>
  <c r="E23" i="1"/>
  <c r="E22" i="1"/>
  <c r="E21" i="1"/>
  <c r="E20" i="1"/>
  <c r="E19" i="1"/>
  <c r="E18" i="1"/>
  <c r="E17" i="1"/>
  <c r="E16" i="1"/>
  <c r="D23" i="1"/>
  <c r="D22" i="1"/>
  <c r="D21" i="1"/>
  <c r="D20" i="1"/>
  <c r="D19" i="1"/>
  <c r="D18" i="1"/>
  <c r="D17" i="1"/>
  <c r="D16" i="1"/>
  <c r="C23" i="1"/>
  <c r="C22" i="1"/>
  <c r="C21" i="1"/>
  <c r="C20" i="1"/>
  <c r="C19" i="1"/>
  <c r="C18" i="1"/>
  <c r="C17" i="1"/>
  <c r="C16" i="1"/>
  <c r="B23" i="1"/>
  <c r="B22" i="1"/>
  <c r="B21" i="1"/>
  <c r="B20" i="1"/>
  <c r="B19" i="1"/>
  <c r="B17" i="1"/>
  <c r="B16" i="1"/>
  <c r="F6" i="5"/>
  <c r="F3" i="5"/>
  <c r="F2" i="5"/>
  <c r="E2" i="5"/>
  <c r="E3" i="5"/>
  <c r="B8" i="6"/>
  <c r="L10" i="1"/>
  <c r="K10" i="1"/>
  <c r="J10" i="1"/>
  <c r="I10" i="1"/>
  <c r="H10" i="1"/>
  <c r="G10" i="1"/>
  <c r="L6" i="1"/>
  <c r="K6" i="1"/>
  <c r="J6" i="1"/>
  <c r="I6" i="1"/>
  <c r="H6" i="1"/>
  <c r="G6" i="1"/>
  <c r="F9" i="5" l="1"/>
  <c r="A6" i="1" s="1" a="1"/>
  <c r="A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<sst xmlns="http://schemas.openxmlformats.org/spreadsheetml/2006/main" count="271" uniqueCount="190">
  <si>
    <t>THOR'S ALLERGY &amp; SKIN REPORT</t>
  </si>
  <si>
    <t>CURRENT TREATMENT PLAN</t>
  </si>
  <si>
    <t>RECENT 30 DAY SYMPTOM AVERAGES</t>
  </si>
  <si>
    <t>Treatment</t>
  </si>
  <si>
    <t>Frequency</t>
  </si>
  <si>
    <t>Start</t>
  </si>
  <si>
    <t>Last Given</t>
  </si>
  <si>
    <t>Next Expected</t>
  </si>
  <si>
    <t>Status</t>
  </si>
  <si>
    <t>Biting</t>
  </si>
  <si>
    <t>Scratch</t>
  </si>
  <si>
    <t>Paw Lick</t>
  </si>
  <si>
    <t>Head Shake</t>
  </si>
  <si>
    <t>Discomfort</t>
  </si>
  <si>
    <t>Stress</t>
  </si>
  <si>
    <t>LATEST COAT &amp; SKIN SCORES</t>
  </si>
  <si>
    <t>L Ear</t>
  </si>
  <si>
    <t>R Ear</t>
  </si>
  <si>
    <t>L Haunch</t>
  </si>
  <si>
    <t>R Haunch</t>
  </si>
  <si>
    <t>Front Legs</t>
  </si>
  <si>
    <t>Back Legs</t>
  </si>
  <si>
    <t>CYTOPOINT RESPONSE REVIEW</t>
  </si>
  <si>
    <t>VISIT NOTES / QUESTIONS</t>
  </si>
  <si>
    <t>Period</t>
  </si>
  <si>
    <t>Before an appointment, note the questions you want to discuss here. Afterward, record the veterinarian's recommendations on Changes &amp; Events so the next report preserves what changed and when.</t>
  </si>
  <si>
    <t>Before injection</t>
  </si>
  <si>
    <t>Week 2</t>
  </si>
  <si>
    <t>Week 3</t>
  </si>
  <si>
    <t>Week 4</t>
  </si>
  <si>
    <t>Weeks 5–8</t>
  </si>
  <si>
    <t>DAILY CHECK IN — routine entry should take only a few minutes</t>
  </si>
  <si>
    <t>0 = observed and none. Leave blank if you did not observe a symptom that day.</t>
  </si>
  <si>
    <t>Date</t>
  </si>
  <si>
    <t>Biting / Chewing</t>
  </si>
  <si>
    <t>Scratching</t>
  </si>
  <si>
    <t>Paw Licking</t>
  </si>
  <si>
    <t>Head Shaking</t>
  </si>
  <si>
    <t>General Discomfort</t>
  </si>
  <si>
    <t>Stress Level</t>
  </si>
  <si>
    <t>Stress / Routine Change</t>
  </si>
  <si>
    <t>Unusual Exposure</t>
  </si>
  <si>
    <t>Notes</t>
  </si>
  <si>
    <t>COAT &amp; SKIN — weekly, or whenever you notice a meaningful change</t>
  </si>
  <si>
    <t>Left Ear</t>
  </si>
  <si>
    <t>Right Ear</t>
  </si>
  <si>
    <t>Left Haunch</t>
  </si>
  <si>
    <t>Right Haunch</t>
  </si>
  <si>
    <t>Redness / Irritation</t>
  </si>
  <si>
    <t>Photos?</t>
  </si>
  <si>
    <t>Photo Filename(s)</t>
  </si>
  <si>
    <t>CHANGES &amp; EVENTS — enter only when something actually happens</t>
  </si>
  <si>
    <t>Actual Date</t>
  </si>
  <si>
    <t>Event Type</t>
  </si>
  <si>
    <t>Item / Product</t>
  </si>
  <si>
    <t>Action / Details</t>
  </si>
  <si>
    <t>Planned Date</t>
  </si>
  <si>
    <t>Reason / Source</t>
  </si>
  <si>
    <t>Vet Directed?</t>
  </si>
  <si>
    <t>Trial End / Review Date</t>
  </si>
  <si>
    <t>Cycle #</t>
  </si>
  <si>
    <t>Grooming</t>
  </si>
  <si>
    <t>Full grooming</t>
  </si>
  <si>
    <t>Completed</t>
  </si>
  <si>
    <t>Routine / Scheduled</t>
  </si>
  <si>
    <t>No</t>
  </si>
  <si>
    <t>Regular 4 week schedule</t>
  </si>
  <si>
    <t>Category</t>
  </si>
  <si>
    <t>Treatment / Product</t>
  </si>
  <si>
    <t>Start Date</t>
  </si>
  <si>
    <t>Last Given / Actual</t>
  </si>
  <si>
    <t>Food</t>
  </si>
  <si>
    <t>Purina Pro Plan Sensitive Skin &amp; Stomach Salmon Adult</t>
  </si>
  <si>
    <t>Continuous Diet</t>
  </si>
  <si>
    <t>Active</t>
  </si>
  <si>
    <t>Allergy Medication</t>
  </si>
  <si>
    <t>Apoquel</t>
  </si>
  <si>
    <t>Daily</t>
  </si>
  <si>
    <t>Allergy Injection</t>
  </si>
  <si>
    <t>Cytopoint</t>
  </si>
  <si>
    <t>Every 90 Days</t>
  </si>
  <si>
    <t>Current planned interval; use data to evaluate observed response</t>
  </si>
  <si>
    <t>Supplement</t>
  </si>
  <si>
    <t>Nordic Naturals Omega 3 Pet</t>
  </si>
  <si>
    <t>Parasite Prevention</t>
  </si>
  <si>
    <t>Simparica Trio</t>
  </si>
  <si>
    <t>Monthly on the 1st</t>
  </si>
  <si>
    <t>Used since puppyhood</t>
  </si>
  <si>
    <t>Every 4 Weeks</t>
  </si>
  <si>
    <t>Actual date drives analysis</t>
  </si>
  <si>
    <t>Thor's Allergy Tracker — Setup &amp; Editable Lists</t>
  </si>
  <si>
    <t>Setting</t>
  </si>
  <si>
    <t>Value</t>
  </si>
  <si>
    <t>Event Types</t>
  </si>
  <si>
    <t>Stress / Routine</t>
  </si>
  <si>
    <t>Yes / No</t>
  </si>
  <si>
    <t>Name</t>
  </si>
  <si>
    <t>Thor</t>
  </si>
  <si>
    <t>Food Change</t>
  </si>
  <si>
    <t>None</t>
  </si>
  <si>
    <t>Vet Recommendation</t>
  </si>
  <si>
    <t>Yes</t>
  </si>
  <si>
    <t>Breed</t>
  </si>
  <si>
    <t>Catahoula Beagle mix</t>
  </si>
  <si>
    <t>Medication Start</t>
  </si>
  <si>
    <t>Company / Visitors</t>
  </si>
  <si>
    <t>Hike</t>
  </si>
  <si>
    <t>Twice Daily</t>
  </si>
  <si>
    <t>Inactive</t>
  </si>
  <si>
    <t>Grooming interval (days)</t>
  </si>
  <si>
    <t>Medication Stop</t>
  </si>
  <si>
    <t>Travel</t>
  </si>
  <si>
    <t>Swimming / Water</t>
  </si>
  <si>
    <t>Weekly</t>
  </si>
  <si>
    <t>Trial Started</t>
  </si>
  <si>
    <t>Trial</t>
  </si>
  <si>
    <t>Unknown</t>
  </si>
  <si>
    <t>Last actual grooming</t>
  </si>
  <si>
    <t>Dose Change</t>
  </si>
  <si>
    <t>Schedule Change</t>
  </si>
  <si>
    <t>Trial Completed</t>
  </si>
  <si>
    <t>Next expected grooming</t>
  </si>
  <si>
    <t>Injection</t>
  </si>
  <si>
    <t>Left Alone More</t>
  </si>
  <si>
    <t>Long Outdoor Day</t>
  </si>
  <si>
    <t>Every 6 Weeks</t>
  </si>
  <si>
    <t>No Apparent Improvement</t>
  </si>
  <si>
    <t>Paused</t>
  </si>
  <si>
    <t>Default trial length (days)</t>
  </si>
  <si>
    <t>Supplement Start</t>
  </si>
  <si>
    <t>Smoke / Poor Air</t>
  </si>
  <si>
    <t>Every 8 Weeks</t>
  </si>
  <si>
    <t>Side Effect / Concern</t>
  </si>
  <si>
    <t>Planned</t>
  </si>
  <si>
    <t>Supplement Stop</t>
  </si>
  <si>
    <t>Vet Visit</t>
  </si>
  <si>
    <t>Wet / Muddy</t>
  </si>
  <si>
    <t>Owner Observation</t>
  </si>
  <si>
    <t>Loud Noise / Storm</t>
  </si>
  <si>
    <t>New Location</t>
  </si>
  <si>
    <t>Monthly</t>
  </si>
  <si>
    <t>Other</t>
  </si>
  <si>
    <t>Boarding / Pet Sitter</t>
  </si>
  <si>
    <t>Symptom Score</t>
  </si>
  <si>
    <t>Meaning</t>
  </si>
  <si>
    <t>Guide</t>
  </si>
  <si>
    <t>As Needed</t>
  </si>
  <si>
    <t>Observed and not present</t>
  </si>
  <si>
    <t>Very mild</t>
  </si>
  <si>
    <t>Occasional / easy to miss</t>
  </si>
  <si>
    <t>Mild</t>
  </si>
  <si>
    <t>Clearly present but limited</t>
  </si>
  <si>
    <t>Moderate</t>
  </si>
  <si>
    <t>Frequent / noticeable</t>
  </si>
  <si>
    <t>Severe</t>
  </si>
  <si>
    <t>Persistent / clearly uncomfortable</t>
  </si>
  <si>
    <t>Very severe</t>
  </si>
  <si>
    <t>Near constant / substantial impact</t>
  </si>
  <si>
    <t>Blank</t>
  </si>
  <si>
    <t>Not observed</t>
  </si>
  <si>
    <t>Leave blank rather than entering zero</t>
  </si>
  <si>
    <t>Fur Loss Score</t>
  </si>
  <si>
    <t>Normal coat</t>
  </si>
  <si>
    <t>No visible thinning</t>
  </si>
  <si>
    <t>Slight thinning</t>
  </si>
  <si>
    <t>Subtle change</t>
  </si>
  <si>
    <t>Noticeable thinning</t>
  </si>
  <si>
    <t>Clearly less fur</t>
  </si>
  <si>
    <t>Skin visible</t>
  </si>
  <si>
    <t>Skin easily seen through coat</t>
  </si>
  <si>
    <t>Substantial bare area</t>
  </si>
  <si>
    <t>Large / obvious loss</t>
  </si>
  <si>
    <t>Extensive loss</t>
  </si>
  <si>
    <t>Severe / widespread bare area</t>
  </si>
  <si>
    <t>Photo tip</t>
  </si>
  <si>
    <t>Use similar angle and lighting</t>
  </si>
  <si>
    <t>Record filename rather than embedding photos</t>
  </si>
  <si>
    <t>Every 4 months</t>
  </si>
  <si>
    <t>Ear area is almost fully black at the temples due to scratching and headshaking, no fur left</t>
  </si>
  <si>
    <t>Hike at Lost Creek Lake</t>
  </si>
  <si>
    <t>Ear areas are now dime sized, head shaking appears less.  Still licking paws often with a little redness in the webbed areas</t>
  </si>
  <si>
    <t>Hike at Touvelle State Park</t>
  </si>
  <si>
    <t>Thor was anxious all day, no real catalyst</t>
  </si>
  <si>
    <t>Regular 16 week schedule</t>
  </si>
  <si>
    <t>Weeks 1</t>
  </si>
  <si>
    <t>Weeks 13-16</t>
  </si>
  <si>
    <t>Weeks 9–12</t>
  </si>
  <si>
    <t>Anxiety Medication</t>
  </si>
  <si>
    <t>Fluoxetine 10 MG</t>
  </si>
  <si>
    <t>Nutri-Vet Omega-3 Coat Care Fish Oil Softgels for Dogs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</si>
</sst>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0.0"/>
    <numFmt numFmtId="168" formatCode="mm/dd/yy;@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2F3833"/>
      <name val="Carlito"/>
    </font>
    <font>
      <b/>
      <sz val="18"/>
      <color rgb="FFFFFFFF"/>
      <name val="Carlito"/>
    </font>
    <font>
      <b/>
      <sz val="11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63C32"/>
      </patternFill>
    </fill>
    <fill>
      <patternFill patternType="solid">
        <fgColor rgb="FFE8ECE6"/>
      </patternFill>
    </fill>
    <fill>
      <patternFill patternType="solid">
        <fgColor rgb="FFF8F7F3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wrapText="1"/>
    </xf>
    <xf numFmtId="0" fontId="4" fillId="3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horizontal="center" vertical="top" wrapText="1"/>
    </xf>
    <xf numFmtId="1" fontId="0" fillId="4" borderId="0" xfId="0" applyNumberFormat="1" applyFont="1" applyFill="1" applyBorder="1" applyAlignment="1">
      <alignment wrapText="1"/>
    </xf>
    <xf numFmtId="168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C35" sqref="C35"/>
    </sheetView>
  </sheetViews>
  <sheetFormatPr defaultRowHeight="14.25"/>
  <cols>
    <col min="1" max="1" width="22.25" customWidth="1"/>
    <col min="2" max="2" width="18" customWidth="1"/>
    <col min="3" max="3" width="14" customWidth="1"/>
    <col min="4" max="4" width="15" customWidth="1"/>
    <col min="5" max="5" width="16" customWidth="1"/>
    <col min="6" max="6" width="12" customWidth="1"/>
    <col min="7" max="7" width="14" customWidth="1"/>
    <col min="8" max="11" width="13" customWidth="1"/>
    <col min="12" max="12" width="14" customWidth="1"/>
  </cols>
  <sheetData>
    <row r="1" spans="1:12" ht="23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>
      <c r="A4" s="8" t="s">
        <v>1</v>
      </c>
      <c r="B4" s="8"/>
      <c r="C4" s="8"/>
      <c r="D4" s="8"/>
      <c r="E4" s="8"/>
      <c r="F4" s="8"/>
      <c r="G4" s="8" t="s">
        <v>2</v>
      </c>
      <c r="H4" s="8"/>
      <c r="I4" s="8"/>
      <c r="J4" s="8"/>
      <c r="K4" s="8"/>
      <c r="L4" s="8"/>
    </row>
    <row r="5" spans="1:12" ht="1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>
      <c r="A6" s="18" t="str" cm="1">
        <f t="array" aca="1" ref="A6:F12" ca="1">_xlfn._xlws.FILTER('Treatment Plan'!B2:G100,(('Treatment Plan'!G2:G100="Active")+(('Treatment Plan'!E2:E100&gt;=TODAY()-30)*('Treatment Plan'!E2:E100&lt;=TODAY())))&gt;0,"")</f>
        <v>Purina Pro Plan Sensitive Skin &amp; Stomach Salmon Adult</v>
      </c>
      <c r="B6" s="3" t="str">
        <f ca="1"/>
        <v>Continuous Diet</v>
      </c>
      <c r="C6" s="17">
        <f ca="1"/>
        <v>45992</v>
      </c>
      <c r="D6" s="17">
        <f ca="1"/>
        <v>46302</v>
      </c>
      <c r="E6" s="17">
        <f ca="1"/>
        <v>46303</v>
      </c>
      <c r="F6" s="3" t="str">
        <f ca="1"/>
        <v>Active</v>
      </c>
      <c r="G6" s="6">
        <f ca="1">IFERROR(AVERAGEIFS('Daily Check In'!$B$5:$B$404,'Daily Check In'!$A$5:$A$404,"&gt;="&amp;TODAY()-30),"")</f>
        <v>3</v>
      </c>
      <c r="H6" s="6">
        <f ca="1">IFERROR(AVERAGEIFS('Daily Check In'!$C$5:$C$404,'Daily Check In'!$A$5:$A$404,"&gt;="&amp;TODAY()-30),"")</f>
        <v>2.1818181818181817</v>
      </c>
      <c r="I6" s="6">
        <f ca="1">IFERROR(AVERAGEIFS('Daily Check In'!$D$5:$D$404,'Daily Check In'!$A$5:$A$404,"&gt;="&amp;TODAY()-30),"")</f>
        <v>3.4545454545454546</v>
      </c>
      <c r="J6" s="6">
        <f ca="1">IFERROR(AVERAGEIFS('Daily Check In'!$E$5:$E$404,'Daily Check In'!$A$5:$A$404,"&gt;="&amp;TODAY()-30),"")</f>
        <v>3.0909090909090908</v>
      </c>
      <c r="K6" s="6">
        <f ca="1">IFERROR(AVERAGEIFS('Daily Check In'!$F$5:$F$404,'Daily Check In'!$A$5:$A$404,"&gt;="&amp;TODAY()-30),"")</f>
        <v>1.8181818181818181</v>
      </c>
      <c r="L6" s="6">
        <f ca="1">IFERROR(AVERAGEIFS('Daily Check In'!$G$5:$G$404,'Daily Check In'!$A$5:$A$404,"&gt;="&amp;TODAY()-30),"")</f>
        <v>1.7272727272727273</v>
      </c>
    </row>
    <row r="7" spans="1:12">
      <c r="A7" s="18" t="str">
        <f ca="1"/>
        <v>Apoquel</v>
      </c>
      <c r="B7" s="3" t="str">
        <f ca="1"/>
        <v>Daily</v>
      </c>
      <c r="C7" s="17">
        <f ca="1"/>
        <v>46013</v>
      </c>
      <c r="D7" s="17">
        <f ca="1"/>
        <v>46302</v>
      </c>
      <c r="E7" s="17">
        <f ca="1"/>
        <v>46303</v>
      </c>
      <c r="F7" s="3" t="str">
        <f ca="1"/>
        <v>Active</v>
      </c>
      <c r="G7" s="3"/>
      <c r="H7" s="3"/>
      <c r="I7" s="3"/>
      <c r="J7" s="3"/>
      <c r="K7" s="3"/>
      <c r="L7" s="3"/>
    </row>
    <row r="8" spans="1:12" ht="15">
      <c r="A8" s="18" t="str">
        <f ca="1"/>
        <v>Cytopoint</v>
      </c>
      <c r="B8" s="3" t="str">
        <f ca="1"/>
        <v>Every 4 months</v>
      </c>
      <c r="C8" s="17">
        <f ca="1"/>
        <v>46037</v>
      </c>
      <c r="D8" s="17">
        <f ca="1"/>
        <v>46181</v>
      </c>
      <c r="E8" s="17">
        <f ca="1"/>
        <v>46303</v>
      </c>
      <c r="F8" s="3" t="str">
        <f ca="1"/>
        <v>Active</v>
      </c>
      <c r="G8" s="8" t="s">
        <v>15</v>
      </c>
      <c r="H8" s="8"/>
      <c r="I8" s="8"/>
      <c r="J8" s="8"/>
      <c r="K8" s="8"/>
      <c r="L8" s="8"/>
    </row>
    <row r="9" spans="1:12" ht="15">
      <c r="A9" s="18" t="str">
        <f ca="1"/>
        <v>Simparica Trio</v>
      </c>
      <c r="B9" s="3" t="str">
        <f ca="1"/>
        <v>Monthly on the 1st</v>
      </c>
      <c r="C9" s="17">
        <f ca="1"/>
        <v>44531</v>
      </c>
      <c r="D9" s="17">
        <f ca="1"/>
        <v>46296</v>
      </c>
      <c r="E9" s="17">
        <f ca="1"/>
        <v>46327</v>
      </c>
      <c r="F9" s="3" t="str">
        <f ca="1"/>
        <v>Active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>
      <c r="A10" s="18" t="str">
        <f ca="1"/>
        <v>Full grooming</v>
      </c>
      <c r="B10" s="3" t="str">
        <f ca="1"/>
        <v>Every 4 Weeks</v>
      </c>
      <c r="C10" s="17">
        <f ca="1"/>
        <v>45511</v>
      </c>
      <c r="D10" s="17">
        <f ca="1"/>
        <v>46291</v>
      </c>
      <c r="E10" s="17">
        <f ca="1"/>
        <v>46319</v>
      </c>
      <c r="F10" s="3" t="str">
        <f ca="1"/>
        <v>Active</v>
      </c>
      <c r="G10" s="3">
        <f>IFERROR(LOOKUP(2,1/('Coat &amp; Skin'!$B$4:$B$203&lt;&gt;""),'Coat &amp; Skin'!$B$4:$B$203),"")</f>
        <v>3</v>
      </c>
      <c r="H10" s="3">
        <f>IFERROR(LOOKUP(2,1/('Coat &amp; Skin'!$C$4:$C$203&lt;&gt;""),'Coat &amp; Skin'!$C$4:$C$203),"")</f>
        <v>3</v>
      </c>
      <c r="I10" s="3">
        <f>IFERROR(LOOKUP(2,1/('Coat &amp; Skin'!$D$4:$D$203&lt;&gt;""),'Coat &amp; Skin'!$D$4:$D$203),"")</f>
        <v>3</v>
      </c>
      <c r="J10" s="3">
        <f>IFERROR(LOOKUP(2,1/('Coat &amp; Skin'!$E$4:$E$203&lt;&gt;""),'Coat &amp; Skin'!$E$4:$E$203),"")</f>
        <v>3</v>
      </c>
      <c r="K10" s="3">
        <f>IFERROR(LOOKUP(2,1/('Coat &amp; Skin'!$F$4:$F$203&lt;&gt;""),'Coat &amp; Skin'!$F$4:$F$203),"")</f>
        <v>2</v>
      </c>
      <c r="L10" s="3">
        <f>IFERROR(LOOKUP(2,1/('Coat &amp; Skin'!$G$4:$G$203&lt;&gt;""),'Coat &amp; Skin'!$G$4:$G$203),"")</f>
        <v>2</v>
      </c>
    </row>
    <row r="11" spans="1:12">
      <c r="A11" s="18" t="str">
        <f ca="1"/>
        <v>Nordic Naturals Omega 3 Pet</v>
      </c>
      <c r="B11" s="3" t="str">
        <f ca="1"/>
        <v>Daily</v>
      </c>
      <c r="C11" s="17">
        <f ca="1"/>
        <v>46181</v>
      </c>
      <c r="D11" s="17">
        <f ca="1"/>
        <v>46302</v>
      </c>
      <c r="E11" s="17">
        <f ca="1"/>
        <v>46303</v>
      </c>
      <c r="F11" s="3" t="str">
        <f ca="1"/>
        <v>Active</v>
      </c>
      <c r="G11" s="3"/>
      <c r="H11" s="3"/>
      <c r="I11" s="3"/>
      <c r="J11" s="3"/>
      <c r="K11" s="3"/>
      <c r="L11" s="3"/>
    </row>
    <row r="12" spans="1:12">
      <c r="A12" s="18" t="str">
        <f ca="1"/>
        <v>Fluoxetine 10 MG</v>
      </c>
      <c r="B12" s="3" t="str">
        <f ca="1"/>
        <v>Daily</v>
      </c>
      <c r="C12" s="17">
        <f ca="1"/>
        <v>46181</v>
      </c>
      <c r="D12" s="17">
        <f ca="1"/>
        <v>46302</v>
      </c>
      <c r="E12" s="17">
        <f ca="1"/>
        <v>46302</v>
      </c>
      <c r="F12" s="3" t="str">
        <f ca="1"/>
        <v>Active</v>
      </c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">
      <c r="A14" s="8" t="s">
        <v>22</v>
      </c>
      <c r="B14" s="8"/>
      <c r="C14" s="8"/>
      <c r="D14" s="8"/>
      <c r="E14" s="8"/>
      <c r="F14" s="8"/>
      <c r="G14" s="8" t="s">
        <v>23</v>
      </c>
      <c r="H14" s="8"/>
      <c r="I14" s="8"/>
      <c r="J14" s="8"/>
      <c r="K14" s="8"/>
      <c r="L14" s="8"/>
    </row>
    <row r="15" spans="1:12" ht="15" customHeight="1">
      <c r="A15" s="7" t="s">
        <v>24</v>
      </c>
      <c r="B15" s="7" t="s">
        <v>9</v>
      </c>
      <c r="C15" s="7" t="s">
        <v>10</v>
      </c>
      <c r="D15" s="7" t="s">
        <v>11</v>
      </c>
      <c r="E15" s="7" t="s">
        <v>12</v>
      </c>
      <c r="F15" s="7" t="s">
        <v>13</v>
      </c>
      <c r="G15" s="15" t="s">
        <v>25</v>
      </c>
      <c r="H15" s="15"/>
      <c r="I15" s="15"/>
      <c r="J15" s="15"/>
      <c r="K15" s="15"/>
      <c r="L15" s="15"/>
    </row>
    <row r="16" spans="1:12">
      <c r="A16" s="5" t="s">
        <v>26</v>
      </c>
      <c r="B16" s="5" t="str">
        <f>IFERROR(AVERAGEIFS('Daily Check In'!B$5:B$404,'Daily Check In'!$A$5:$A$404,"&gt;="&amp;'Treatment Plan'!$E$4-7,'Daily Check In'!$A$5:$A$404,"&lt;"&amp;'Treatment Plan'!$E$4),"")</f>
        <v/>
      </c>
      <c r="C16" s="5" t="str">
        <f>IFERROR(AVERAGEIFS('Daily Check In'!C$5:C$404,'Daily Check In'!$A$5:$A$404,"&gt;="&amp;'Treatment Plan'!$E$4-7,'Daily Check In'!$A$5:$A$404,"&lt;"&amp;'Treatment Plan'!$E$4),"")</f>
        <v/>
      </c>
      <c r="D16" s="5" t="str">
        <f>IFERROR(AVERAGEIFS('Daily Check In'!D$5:D$404,'Daily Check In'!$A$5:$A$404,"&gt;="&amp;'Treatment Plan'!$E$4-7,'Daily Check In'!$A$5:$A$404,"&lt;"&amp;'Treatment Plan'!$E$4),"")</f>
        <v/>
      </c>
      <c r="E16" s="5" t="str">
        <f>IFERROR(AVERAGEIFS('Daily Check In'!E$5:E$404,'Daily Check In'!$A$5:$A$404,"&gt;="&amp;'Treatment Plan'!$E$4-7,'Daily Check In'!$A$5:$A$404,"&lt;"&amp;'Treatment Plan'!$E$4),"")</f>
        <v/>
      </c>
      <c r="F16" s="5" t="str">
        <f>IFERROR(AVERAGEIFS('Daily Check In'!F$5:F$404,'Daily Check In'!$A$5:$A$404,"&gt;="&amp;'Treatment Plan'!$E$4-7,'Daily Check In'!$A$5:$A$404,"&lt;"&amp;'Treatment Plan'!$E$4),"")</f>
        <v/>
      </c>
      <c r="G16" s="15"/>
      <c r="H16" s="15"/>
      <c r="I16" s="15"/>
      <c r="J16" s="15"/>
      <c r="K16" s="15"/>
      <c r="L16" s="15"/>
    </row>
    <row r="17" spans="1:12">
      <c r="A17" s="5" t="s">
        <v>184</v>
      </c>
      <c r="B17" s="5" t="str">
        <f>IFERROR(AVERAGEIFS('Daily Check In'!B$5:B$404,'Daily Check In'!$A$5:$A$404,"&gt;="&amp;'Treatment Plan'!$E$4,'Daily Check In'!$A$5:$A$404,"&lt;"&amp;'Treatment Plan'!$E$4+7),"")</f>
        <v/>
      </c>
      <c r="C17" s="5" t="str">
        <f>IFERROR(AVERAGEIFS('Daily Check In'!C$5:C$404,'Daily Check In'!$A$5:$A$404,"&gt;="&amp;'Treatment Plan'!$E$4,'Daily Check In'!$A$5:$A$404,"&lt;"&amp;'Treatment Plan'!$E$4+7),"")</f>
        <v/>
      </c>
      <c r="D17" s="5" t="str">
        <f>IFERROR(AVERAGEIFS('Daily Check In'!D$5:D$404,'Daily Check In'!$A$5:$A$404,"&gt;="&amp;'Treatment Plan'!$E$4,'Daily Check In'!$A$5:$A$404,"&lt;"&amp;'Treatment Plan'!$E$4+7),"")</f>
        <v/>
      </c>
      <c r="E17" s="5" t="str">
        <f>IFERROR(AVERAGEIFS('Daily Check In'!E$5:E$404,'Daily Check In'!$A$5:$A$404,"&gt;="&amp;'Treatment Plan'!$E$4,'Daily Check In'!$A$5:$A$404,"&lt;"&amp;'Treatment Plan'!$E$4+7),"")</f>
        <v/>
      </c>
      <c r="F17" s="5" t="str">
        <f>IFERROR(AVERAGEIFS('Daily Check In'!F$5:F$404,'Daily Check In'!$A$5:$A$404,"&gt;="&amp;'Treatment Plan'!$E$4,'Daily Check In'!$A$5:$A$404,"&lt;"&amp;'Treatment Plan'!$E$4+7),"")</f>
        <v/>
      </c>
      <c r="G17" s="15"/>
      <c r="H17" s="15"/>
      <c r="I17" s="15"/>
      <c r="J17" s="15"/>
      <c r="K17" s="15"/>
      <c r="L17" s="15"/>
    </row>
    <row r="18" spans="1:12">
      <c r="A18" s="5" t="s">
        <v>27</v>
      </c>
      <c r="B18" s="5"/>
      <c r="C18" s="5" t="str">
        <f>IFERROR(AVERAGEIFS('Daily Check In'!C$5:C$404,'Daily Check In'!$A$5:$A$404,"&gt;="&amp;'Treatment Plan'!$E$4+7,'Daily Check In'!$A$5:$A$404,"&lt;"&amp;'Treatment Plan'!$E$4+14),"")</f>
        <v/>
      </c>
      <c r="D18" s="5" t="str">
        <f>IFERROR(AVERAGEIFS('Daily Check In'!D$5:D$404,'Daily Check In'!$A$5:$A$404,"&gt;="&amp;'Treatment Plan'!$E$4+7,'Daily Check In'!$A$5:$A$404,"&lt;"&amp;'Treatment Plan'!$E$4+14),"")</f>
        <v/>
      </c>
      <c r="E18" s="5" t="str">
        <f>IFERROR(AVERAGEIFS('Daily Check In'!E$5:E$404,'Daily Check In'!$A$5:$A$404,"&gt;="&amp;'Treatment Plan'!$E$4+7,'Daily Check In'!$A$5:$A$404,"&lt;"&amp;'Treatment Plan'!$E$4+14),"")</f>
        <v/>
      </c>
      <c r="F18" s="5" t="str">
        <f>IFERROR(AVERAGEIFS('Daily Check In'!F$5:F$404,'Daily Check In'!$A$5:$A$404,"&gt;="&amp;'Treatment Plan'!$E$4+7,'Daily Check In'!$A$5:$A$404,"&lt;"&amp;'Treatment Plan'!$E$4+14),"")</f>
        <v/>
      </c>
      <c r="G18" s="15"/>
      <c r="H18" s="15"/>
      <c r="I18" s="15"/>
      <c r="J18" s="15"/>
      <c r="K18" s="15"/>
      <c r="L18" s="15"/>
    </row>
    <row r="19" spans="1:12">
      <c r="A19" s="5" t="s">
        <v>28</v>
      </c>
      <c r="B19" s="5" t="str">
        <f>IFERROR(AVERAGEIFS('Daily Check In'!B$5:B$404,'Daily Check In'!$A$5:$A$404,"&gt;="&amp;'Treatment Plan'!$E$4+7,'Daily Check In'!$A$5:$A$404,"&lt;"&amp;'Treatment Plan'!$E$4+14),"")</f>
        <v/>
      </c>
      <c r="C19" s="5" t="str">
        <f>IFERROR(AVERAGEIFS('Daily Check In'!C$5:C$404,'Daily Check In'!$A$5:$A$404,"&gt;="&amp;'Treatment Plan'!$E$4+14,'Daily Check In'!$A$5:$A$404,"&lt;"&amp;'Treatment Plan'!$E$4+21),"")</f>
        <v/>
      </c>
      <c r="D19" s="5" t="str">
        <f>IFERROR(AVERAGEIFS('Daily Check In'!D$5:D$404,'Daily Check In'!$A$5:$A$404,"&gt;="&amp;'Treatment Plan'!$E$4+14,'Daily Check In'!$A$5:$A$404,"&lt;"&amp;'Treatment Plan'!$E$4+21),"")</f>
        <v/>
      </c>
      <c r="E19" s="5" t="str">
        <f>IFERROR(AVERAGEIFS('Daily Check In'!E$5:E$404,'Daily Check In'!$A$5:$A$404,"&gt;="&amp;'Treatment Plan'!$E$4+14,'Daily Check In'!$A$5:$A$404,"&lt;"&amp;'Treatment Plan'!$E$4+21),"")</f>
        <v/>
      </c>
      <c r="F19" s="5" t="str">
        <f>IFERROR(AVERAGEIFS('Daily Check In'!F$5:F$404,'Daily Check In'!$A$5:$A$404,"&gt;="&amp;'Treatment Plan'!$E$4+14,'Daily Check In'!$A$5:$A$404,"&lt;"&amp;'Treatment Plan'!$E$4+21),"")</f>
        <v/>
      </c>
      <c r="G19" s="15"/>
      <c r="H19" s="15"/>
      <c r="I19" s="15"/>
      <c r="J19" s="15"/>
      <c r="K19" s="15"/>
      <c r="L19" s="15"/>
    </row>
    <row r="20" spans="1:12">
      <c r="A20" s="5" t="s">
        <v>29</v>
      </c>
      <c r="B20" s="5" t="str">
        <f>IFERROR(AVERAGEIFS('Daily Check In'!B$5:B$404,'Daily Check In'!$A$5:$A$404,"&gt;="&amp;'Treatment Plan'!$E$4+21,'Daily Check In'!$A$5:$A$404,"&lt;"&amp;'Treatment Plan'!$E$4+28),"")</f>
        <v/>
      </c>
      <c r="C20" s="5" t="str">
        <f>IFERROR(AVERAGEIFS('Daily Check In'!C$5:C$404,'Daily Check In'!$A$5:$A$404,"&gt;="&amp;'Treatment Plan'!$E$4+21,'Daily Check In'!$A$5:$A$404,"&lt;"&amp;'Treatment Plan'!$E$4+28),"")</f>
        <v/>
      </c>
      <c r="D20" s="5" t="str">
        <f>IFERROR(AVERAGEIFS('Daily Check In'!D$5:D$404,'Daily Check In'!$A$5:$A$404,"&gt;="&amp;'Treatment Plan'!$E$4+21,'Daily Check In'!$A$5:$A$404,"&lt;"&amp;'Treatment Plan'!$E$4+28),"")</f>
        <v/>
      </c>
      <c r="E20" s="5" t="str">
        <f>IFERROR(AVERAGEIFS('Daily Check In'!E$5:E$404,'Daily Check In'!$A$5:$A$404,"&gt;="&amp;'Treatment Plan'!$E$4+21,'Daily Check In'!$A$5:$A$404,"&lt;"&amp;'Treatment Plan'!$E$4+28),"")</f>
        <v/>
      </c>
      <c r="F20" s="5" t="str">
        <f>IFERROR(AVERAGEIFS('Daily Check In'!F$5:F$404,'Daily Check In'!$A$5:$A$404,"&gt;="&amp;'Treatment Plan'!$E$4+21,'Daily Check In'!$A$5:$A$404,"&lt;"&amp;'Treatment Plan'!$E$4+28),"")</f>
        <v/>
      </c>
      <c r="G20" s="15"/>
      <c r="H20" s="15"/>
      <c r="I20" s="15"/>
      <c r="J20" s="15"/>
      <c r="K20" s="15"/>
      <c r="L20" s="15"/>
    </row>
    <row r="21" spans="1:12">
      <c r="A21" s="5" t="s">
        <v>30</v>
      </c>
      <c r="B21" s="5" t="str">
        <f>IFERROR(AVERAGEIFS('Daily Check In'!B$5:B$404,'Daily Check In'!$A$5:$A$404,"&gt;="&amp;'Treatment Plan'!$E$4+28,'Daily Check In'!$A$5:$A$404,"&lt;"&amp;'Treatment Plan'!$E$4+56),"")</f>
        <v/>
      </c>
      <c r="C21" s="5" t="str">
        <f>IFERROR(AVERAGEIFS('Daily Check In'!C$5:C$404,'Daily Check In'!$A$5:$A$404,"&gt;="&amp;'Treatment Plan'!$E$4+28,'Daily Check In'!$A$5:$A$404,"&lt;"&amp;'Treatment Plan'!$E$4+56),"")</f>
        <v/>
      </c>
      <c r="D21" s="5" t="str">
        <f>IFERROR(AVERAGEIFS('Daily Check In'!D$5:D$404,'Daily Check In'!$A$5:$A$404,"&gt;="&amp;'Treatment Plan'!$E$4+28,'Daily Check In'!$A$5:$A$404,"&lt;"&amp;'Treatment Plan'!$E$4+56),"")</f>
        <v/>
      </c>
      <c r="E21" s="5" t="str">
        <f>IFERROR(AVERAGEIFS('Daily Check In'!E$5:E$404,'Daily Check In'!$A$5:$A$404,"&gt;="&amp;'Treatment Plan'!$E$4+28,'Daily Check In'!$A$5:$A$404,"&lt;"&amp;'Treatment Plan'!$E$4+56),"")</f>
        <v/>
      </c>
      <c r="F21" s="5" t="str">
        <f>IFERROR(AVERAGEIFS('Daily Check In'!F$5:F$404,'Daily Check In'!$A$5:$A$404,"&gt;="&amp;'Treatment Plan'!$E$4+28,'Daily Check In'!$A$5:$A$404,"&lt;"&amp;'Treatment Plan'!$E$4+56),"")</f>
        <v/>
      </c>
      <c r="G21" s="15"/>
      <c r="H21" s="15"/>
      <c r="I21" s="15"/>
      <c r="J21" s="15"/>
      <c r="K21" s="15"/>
      <c r="L21" s="15"/>
    </row>
    <row r="22" spans="1:12">
      <c r="A22" s="5" t="s">
        <v>186</v>
      </c>
      <c r="B22" s="5" t="str">
        <f>IFERROR(AVERAGEIFS('Daily Check In'!B$5:B$404,'Daily Check In'!$A$5:$A$404,"&gt;="&amp;'Treatment Plan'!$E$4+56,'Daily Check In'!$A$5:$A$404,"&lt;"&amp;'Treatment Plan'!$E$4+84),"")</f>
        <v/>
      </c>
      <c r="C22" s="5" t="str">
        <f>IFERROR(AVERAGEIFS('Daily Check In'!C$5:C$404,'Daily Check In'!$A$5:$A$404,"&gt;="&amp;'Treatment Plan'!$E$4+56,'Daily Check In'!$A$5:$A$404,"&lt;"&amp;'Treatment Plan'!$E$4+84),"")</f>
        <v/>
      </c>
      <c r="D22" s="5" t="str">
        <f>IFERROR(AVERAGEIFS('Daily Check In'!D$5:D$404,'Daily Check In'!$A$5:$A$404,"&gt;="&amp;'Treatment Plan'!$E$4+56,'Daily Check In'!$A$5:$A$404,"&lt;"&amp;'Treatment Plan'!$E$4+84),"")</f>
        <v/>
      </c>
      <c r="E22" s="5" t="str">
        <f>IFERROR(AVERAGEIFS('Daily Check In'!E$5:E$404,'Daily Check In'!$A$5:$A$404,"&gt;="&amp;'Treatment Plan'!$E$4+56,'Daily Check In'!$A$5:$A$404,"&lt;"&amp;'Treatment Plan'!$E$4+84),"")</f>
        <v/>
      </c>
      <c r="F22" s="5" t="str">
        <f>IFERROR(AVERAGEIFS('Daily Check In'!F$5:F$404,'Daily Check In'!$A$5:$A$404,"&gt;="&amp;'Treatment Plan'!$E$4+56,'Daily Check In'!$A$5:$A$404,"&lt;"&amp;'Treatment Plan'!$E$4+84),"")</f>
        <v/>
      </c>
      <c r="G22" s="15"/>
      <c r="H22" s="15"/>
      <c r="I22" s="15"/>
      <c r="J22" s="15"/>
      <c r="K22" s="15"/>
      <c r="L22" s="15"/>
    </row>
    <row r="23" spans="1:12">
      <c r="A23" s="5" t="s">
        <v>185</v>
      </c>
      <c r="B23" s="14">
        <f>IFERROR(AVERAGEIFS('Daily Check In'!B$5:B$404,'Daily Check In'!$A$5:$A$404,"&gt;="&amp;'Treatment Plan'!$E$4+84,'Daily Check In'!$A$5:$A$404,"&lt;="&amp;'Treatment Plan'!$F$4),"")</f>
        <v>3</v>
      </c>
      <c r="C23" s="16">
        <f>IFERROR(AVERAGEIFS('Daily Check In'!C$5:C$404,'Daily Check In'!$A$5:$A$404,"&gt;="&amp;'Treatment Plan'!$E$4+84,'Daily Check In'!$A$5:$A$404,"&lt;="&amp;'Treatment Plan'!$F$4),"")</f>
        <v>2.1818181818181817</v>
      </c>
      <c r="D23" s="16">
        <f>IFERROR(AVERAGEIFS('Daily Check In'!D$5:D$404,'Daily Check In'!$A$5:$A$404,"&gt;="&amp;'Treatment Plan'!$E$4+84,'Daily Check In'!$A$5:$A$404,"&lt;="&amp;'Treatment Plan'!$F$4),"")</f>
        <v>3.4545454545454546</v>
      </c>
      <c r="E23" s="16">
        <f>IFERROR(AVERAGEIFS('Daily Check In'!E$5:E$404,'Daily Check In'!$A$5:$A$404,"&gt;="&amp;'Treatment Plan'!$E$4+84,'Daily Check In'!$A$5:$A$404,"&lt;="&amp;'Treatment Plan'!$F$4),"")</f>
        <v>3.0909090909090908</v>
      </c>
      <c r="F23" s="16">
        <f>IFERROR(AVERAGEIFS('Daily Check In'!F$5:F$404,'Daily Check In'!$A$5:$A$404,"&gt;="&amp;'Treatment Plan'!$E$4+84,'Daily Check In'!$A$5:$A$404,"&lt;="&amp;'Treatment Plan'!$F$4),"")</f>
        <v>1.8181818181818181</v>
      </c>
      <c r="G23" s="15"/>
      <c r="H23" s="15"/>
      <c r="I23" s="15"/>
      <c r="J23" s="15"/>
      <c r="K23" s="15"/>
      <c r="L23" s="15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8">
    <mergeCell ref="A14:F14"/>
    <mergeCell ref="G14:L14"/>
    <mergeCell ref="A1:L1"/>
    <mergeCell ref="A2:L2"/>
    <mergeCell ref="A4:F4"/>
    <mergeCell ref="G4:L4"/>
    <mergeCell ref="G8:L8"/>
    <mergeCell ref="G15:L2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4"/>
  <sheetViews>
    <sheetView workbookViewId="0">
      <selection activeCell="A16" sqref="A16"/>
    </sheetView>
  </sheetViews>
  <sheetFormatPr defaultRowHeight="14.25"/>
  <cols>
    <col min="1" max="1" width="14" customWidth="1"/>
    <col min="2" max="2" width="16" customWidth="1"/>
    <col min="3" max="4" width="13" customWidth="1"/>
    <col min="5" max="5" width="14" customWidth="1"/>
    <col min="6" max="6" width="18" customWidth="1"/>
    <col min="7" max="7" width="12" customWidth="1"/>
    <col min="8" max="8" width="23" customWidth="1"/>
    <col min="9" max="9" width="22" customWidth="1"/>
    <col min="10" max="10" width="40" customWidth="1"/>
  </cols>
  <sheetData>
    <row r="1" spans="1:10" ht="18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12" t="s">
        <v>32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30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</row>
    <row r="5" spans="1:10">
      <c r="A5" s="1">
        <v>46291</v>
      </c>
      <c r="B5">
        <v>4</v>
      </c>
      <c r="C5">
        <v>3</v>
      </c>
      <c r="D5">
        <v>3</v>
      </c>
      <c r="E5">
        <v>5</v>
      </c>
      <c r="F5">
        <v>2</v>
      </c>
      <c r="G5">
        <v>1</v>
      </c>
      <c r="H5" t="s">
        <v>99</v>
      </c>
      <c r="I5" t="s">
        <v>99</v>
      </c>
    </row>
    <row r="6" spans="1:10">
      <c r="A6" s="1">
        <v>46292</v>
      </c>
      <c r="B6">
        <v>4</v>
      </c>
      <c r="C6">
        <v>3</v>
      </c>
      <c r="D6">
        <v>4</v>
      </c>
      <c r="E6">
        <v>4</v>
      </c>
      <c r="F6">
        <v>2</v>
      </c>
      <c r="G6">
        <v>1</v>
      </c>
      <c r="H6" t="s">
        <v>99</v>
      </c>
      <c r="I6" t="s">
        <v>106</v>
      </c>
      <c r="J6" t="s">
        <v>179</v>
      </c>
    </row>
    <row r="7" spans="1:10">
      <c r="A7" s="1">
        <v>46293</v>
      </c>
      <c r="B7">
        <v>4</v>
      </c>
      <c r="C7">
        <v>3</v>
      </c>
      <c r="D7">
        <v>4</v>
      </c>
      <c r="E7">
        <v>5</v>
      </c>
      <c r="F7">
        <v>2</v>
      </c>
      <c r="G7">
        <v>3</v>
      </c>
      <c r="H7" t="s">
        <v>105</v>
      </c>
      <c r="I7" t="s">
        <v>99</v>
      </c>
    </row>
    <row r="8" spans="1:10">
      <c r="A8" s="1">
        <v>46294</v>
      </c>
      <c r="B8">
        <v>4</v>
      </c>
      <c r="C8">
        <v>3</v>
      </c>
      <c r="D8">
        <v>3</v>
      </c>
      <c r="E8">
        <v>5</v>
      </c>
      <c r="F8">
        <v>2</v>
      </c>
      <c r="G8">
        <v>1</v>
      </c>
      <c r="H8" t="s">
        <v>99</v>
      </c>
      <c r="I8" t="s">
        <v>99</v>
      </c>
    </row>
    <row r="9" spans="1:10">
      <c r="A9" s="1">
        <v>46295</v>
      </c>
      <c r="B9">
        <v>4</v>
      </c>
      <c r="C9">
        <v>3</v>
      </c>
      <c r="D9">
        <v>3</v>
      </c>
      <c r="E9">
        <v>5</v>
      </c>
      <c r="F9">
        <v>2</v>
      </c>
      <c r="G9">
        <v>2</v>
      </c>
      <c r="H9" t="s">
        <v>99</v>
      </c>
      <c r="I9" t="s">
        <v>99</v>
      </c>
    </row>
    <row r="10" spans="1:10">
      <c r="A10" s="1">
        <v>46296</v>
      </c>
      <c r="B10">
        <v>3</v>
      </c>
      <c r="C10">
        <v>3</v>
      </c>
      <c r="D10">
        <v>4</v>
      </c>
      <c r="E10">
        <v>2</v>
      </c>
      <c r="F10">
        <v>1</v>
      </c>
      <c r="G10">
        <v>1</v>
      </c>
      <c r="H10" t="s">
        <v>99</v>
      </c>
      <c r="I10" t="s">
        <v>99</v>
      </c>
    </row>
    <row r="11" spans="1:10">
      <c r="A11" s="1">
        <v>46297</v>
      </c>
      <c r="B11">
        <v>1</v>
      </c>
      <c r="C11">
        <v>1</v>
      </c>
      <c r="D11">
        <v>3</v>
      </c>
      <c r="E11">
        <v>1</v>
      </c>
      <c r="F11">
        <v>1</v>
      </c>
      <c r="G11">
        <v>1</v>
      </c>
      <c r="H11" t="s">
        <v>99</v>
      </c>
      <c r="I11" t="s">
        <v>106</v>
      </c>
      <c r="J11" t="s">
        <v>181</v>
      </c>
    </row>
    <row r="12" spans="1:10">
      <c r="A12" s="1">
        <v>46298</v>
      </c>
      <c r="B12">
        <v>5</v>
      </c>
      <c r="C12">
        <v>2</v>
      </c>
      <c r="D12">
        <v>4</v>
      </c>
      <c r="E12">
        <v>4</v>
      </c>
      <c r="F12">
        <v>4</v>
      </c>
      <c r="G12">
        <v>5</v>
      </c>
      <c r="H12" t="s">
        <v>141</v>
      </c>
      <c r="I12" t="s">
        <v>99</v>
      </c>
      <c r="J12" t="s">
        <v>182</v>
      </c>
    </row>
    <row r="13" spans="1:10">
      <c r="A13" s="1">
        <v>46299</v>
      </c>
      <c r="B13">
        <v>1</v>
      </c>
      <c r="C13">
        <v>1</v>
      </c>
      <c r="D13">
        <v>2</v>
      </c>
      <c r="E13">
        <v>1</v>
      </c>
      <c r="F13">
        <v>1</v>
      </c>
      <c r="G13">
        <v>1</v>
      </c>
      <c r="H13" t="s">
        <v>99</v>
      </c>
      <c r="I13" t="s">
        <v>99</v>
      </c>
    </row>
    <row r="14" spans="1:10">
      <c r="A14" s="1">
        <v>46300</v>
      </c>
      <c r="B14">
        <v>1</v>
      </c>
      <c r="C14">
        <v>1</v>
      </c>
      <c r="D14">
        <v>4</v>
      </c>
      <c r="E14">
        <v>1</v>
      </c>
      <c r="F14">
        <v>1</v>
      </c>
      <c r="G14">
        <v>1</v>
      </c>
      <c r="H14" t="s">
        <v>99</v>
      </c>
      <c r="I14" t="s">
        <v>99</v>
      </c>
    </row>
    <row r="15" spans="1:10">
      <c r="A15" s="1">
        <v>46301</v>
      </c>
      <c r="B15">
        <v>2</v>
      </c>
      <c r="C15">
        <v>1</v>
      </c>
      <c r="D15">
        <v>4</v>
      </c>
      <c r="E15">
        <v>1</v>
      </c>
      <c r="F15">
        <v>2</v>
      </c>
      <c r="G15">
        <v>2</v>
      </c>
      <c r="H15" t="s">
        <v>99</v>
      </c>
      <c r="I15" t="s">
        <v>99</v>
      </c>
    </row>
    <row r="16" spans="1:10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</sheetData>
  <mergeCells count="2">
    <mergeCell ref="A1:J1"/>
    <mergeCell ref="A2:J2"/>
  </mergeCells>
  <conditionalFormatting sqref="B5:G404">
    <cfRule type="colorScale" priority="1">
      <colorScale>
        <cfvo type="min"/>
        <cfvo type="percentile" val="50"/>
        <cfvo type="max"/>
        <color rgb="FFE7F2E9"/>
        <color rgb="FFF7E7B5"/>
        <color rgb="FFF2C5C5"/>
      </colorScale>
    </cfRule>
  </conditionalFormatting>
  <dataValidations count="3">
    <dataValidation type="list" sqref="B5:G404" xr:uid="{00000000-0002-0000-0100-000000000000}">
      <formula1>"0,1,2,3,4,5"</formula1>
    </dataValidation>
    <dataValidation type="list" sqref="H5:H404" xr:uid="{00000000-0002-0000-0100-000001000000}">
      <formula1>INDIRECT("Setup!$F$4:$F$13")</formula1>
    </dataValidation>
    <dataValidation type="list" sqref="I5:I404" xr:uid="{00000000-0002-0000-0100-000002000000}">
      <formula1>INDIRECT("Setup!$H$4:$H$12")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workbookViewId="0">
      <selection activeCell="A6" sqref="A6"/>
    </sheetView>
  </sheetViews>
  <sheetFormatPr defaultRowHeight="14.25"/>
  <cols>
    <col min="1" max="1" width="14" customWidth="1"/>
    <col min="2" max="3" width="12" customWidth="1"/>
    <col min="4" max="5" width="14" customWidth="1"/>
    <col min="6" max="7" width="13" customWidth="1"/>
    <col min="8" max="8" width="18" customWidth="1"/>
    <col min="9" max="9" width="10" customWidth="1"/>
    <col min="10" max="10" width="30" hidden="1" customWidth="1"/>
    <col min="11" max="11" width="72.875" bestFit="1" customWidth="1"/>
  </cols>
  <sheetData>
    <row r="1" spans="1:11" ht="18">
      <c r="A1" s="11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15">
      <c r="A3" s="2" t="s">
        <v>33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20</v>
      </c>
      <c r="G3" s="2" t="s">
        <v>21</v>
      </c>
      <c r="H3" s="2" t="s">
        <v>48</v>
      </c>
      <c r="I3" s="2" t="s">
        <v>49</v>
      </c>
      <c r="J3" s="2" t="s">
        <v>50</v>
      </c>
      <c r="K3" s="2" t="s">
        <v>42</v>
      </c>
    </row>
    <row r="4" spans="1:11">
      <c r="A4" s="1">
        <v>46291</v>
      </c>
      <c r="B4">
        <v>4</v>
      </c>
      <c r="C4">
        <v>4</v>
      </c>
      <c r="D4">
        <v>4</v>
      </c>
      <c r="E4">
        <v>4</v>
      </c>
      <c r="F4">
        <v>3</v>
      </c>
      <c r="G4">
        <v>3</v>
      </c>
      <c r="H4">
        <v>1</v>
      </c>
      <c r="I4" t="s">
        <v>101</v>
      </c>
      <c r="K4" t="s">
        <v>178</v>
      </c>
    </row>
    <row r="5" spans="1:11">
      <c r="A5" s="1">
        <v>46301</v>
      </c>
      <c r="B5">
        <v>3</v>
      </c>
      <c r="C5">
        <v>3</v>
      </c>
      <c r="D5">
        <v>3</v>
      </c>
      <c r="E5">
        <v>3</v>
      </c>
      <c r="F5">
        <v>2</v>
      </c>
      <c r="G5">
        <v>2</v>
      </c>
      <c r="H5">
        <v>1</v>
      </c>
      <c r="I5" t="s">
        <v>101</v>
      </c>
      <c r="K5" t="s">
        <v>180</v>
      </c>
    </row>
    <row r="6" spans="1:11">
      <c r="A6" s="1"/>
    </row>
    <row r="7" spans="1:11">
      <c r="A7" s="1"/>
    </row>
    <row r="8" spans="1:11">
      <c r="A8" s="1"/>
    </row>
    <row r="9" spans="1:11">
      <c r="A9" s="1"/>
    </row>
    <row r="10" spans="1:11">
      <c r="A10" s="1"/>
    </row>
    <row r="11" spans="1:11">
      <c r="A11" s="1"/>
    </row>
    <row r="12" spans="1:11">
      <c r="A12" s="1"/>
    </row>
    <row r="13" spans="1:11">
      <c r="A13" s="1"/>
    </row>
    <row r="14" spans="1:11">
      <c r="A14" s="1"/>
    </row>
    <row r="15" spans="1:11">
      <c r="A15" s="1"/>
    </row>
    <row r="16" spans="1:1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</sheetData>
  <mergeCells count="1">
    <mergeCell ref="A1:K1"/>
  </mergeCells>
  <conditionalFormatting sqref="B4:H203">
    <cfRule type="colorScale" priority="1">
      <colorScale>
        <cfvo type="min"/>
        <cfvo type="percentile" val="50"/>
        <cfvo type="max"/>
        <color rgb="FFE7F2E9"/>
        <color rgb="FFF7E7B5"/>
        <color rgb="FFF2C5C5"/>
      </colorScale>
    </cfRule>
  </conditionalFormatting>
  <dataValidations count="2">
    <dataValidation type="list" sqref="B4:H203" xr:uid="{00000000-0002-0000-0200-000000000000}">
      <formula1>"0,1,2,3,4,5"</formula1>
    </dataValidation>
    <dataValidation type="list" sqref="I4:I203" xr:uid="{00000000-0002-0000-0200-000001000000}">
      <formula1>INDIRECT("Setup!$P$4:$P$6")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3"/>
  <sheetViews>
    <sheetView workbookViewId="0">
      <selection activeCell="J11" sqref="J11"/>
    </sheetView>
  </sheetViews>
  <sheetFormatPr defaultRowHeight="14.25"/>
  <cols>
    <col min="1" max="1" width="14" customWidth="1"/>
    <col min="2" max="2" width="18" customWidth="1"/>
    <col min="3" max="4" width="32" customWidth="1"/>
    <col min="5" max="5" width="14" customWidth="1"/>
    <col min="6" max="6" width="22" customWidth="1"/>
    <col min="7" max="7" width="14" customWidth="1"/>
    <col min="8" max="8" width="18" hidden="1" customWidth="1"/>
    <col min="9" max="9" width="10" hidden="1" customWidth="1"/>
    <col min="10" max="10" width="42" customWidth="1"/>
  </cols>
  <sheetData>
    <row r="1" spans="1:10" ht="18">
      <c r="A1" s="11" t="s">
        <v>51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30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42</v>
      </c>
    </row>
    <row r="4" spans="1:10">
      <c r="A4" s="1">
        <v>46181</v>
      </c>
      <c r="B4" t="s">
        <v>122</v>
      </c>
      <c r="C4" t="s">
        <v>79</v>
      </c>
      <c r="D4" t="s">
        <v>63</v>
      </c>
      <c r="E4" s="1">
        <v>46181</v>
      </c>
      <c r="F4" t="s">
        <v>64</v>
      </c>
      <c r="G4" t="s">
        <v>101</v>
      </c>
      <c r="H4" s="1"/>
      <c r="J4" t="s">
        <v>183</v>
      </c>
    </row>
    <row r="5" spans="1:10">
      <c r="A5" s="1">
        <v>46291</v>
      </c>
      <c r="B5" t="s">
        <v>61</v>
      </c>
      <c r="C5" t="s">
        <v>62</v>
      </c>
      <c r="D5" t="s">
        <v>63</v>
      </c>
      <c r="E5" s="1">
        <v>46291</v>
      </c>
      <c r="F5" t="s">
        <v>64</v>
      </c>
      <c r="G5" t="s">
        <v>65</v>
      </c>
      <c r="H5" s="1"/>
      <c r="J5" t="s">
        <v>66</v>
      </c>
    </row>
    <row r="6" spans="1:10">
      <c r="A6" s="1"/>
      <c r="E6" s="1"/>
      <c r="H6" s="1"/>
    </row>
    <row r="7" spans="1:10">
      <c r="A7" s="1"/>
      <c r="E7" s="1"/>
      <c r="H7" s="1"/>
    </row>
    <row r="8" spans="1:10">
      <c r="A8" s="1"/>
      <c r="E8" s="1"/>
      <c r="H8" s="1"/>
    </row>
    <row r="9" spans="1:10">
      <c r="A9" s="1"/>
      <c r="E9" s="1"/>
      <c r="H9" s="1"/>
    </row>
    <row r="10" spans="1:10">
      <c r="A10" s="1"/>
      <c r="E10" s="1"/>
      <c r="H10" s="1"/>
    </row>
    <row r="11" spans="1:10">
      <c r="A11" s="1"/>
      <c r="E11" s="1"/>
      <c r="H11" s="1"/>
    </row>
    <row r="12" spans="1:10">
      <c r="A12" s="1"/>
      <c r="E12" s="1"/>
      <c r="H12" s="1"/>
    </row>
    <row r="13" spans="1:10">
      <c r="A13" s="1"/>
      <c r="E13" s="1"/>
      <c r="H13" s="1"/>
    </row>
    <row r="14" spans="1:10">
      <c r="A14" s="1"/>
      <c r="E14" s="1"/>
      <c r="H14" s="1"/>
    </row>
    <row r="15" spans="1:10">
      <c r="A15" s="1"/>
      <c r="E15" s="1"/>
      <c r="H15" s="1"/>
    </row>
    <row r="16" spans="1:10">
      <c r="A16" s="1"/>
      <c r="E16" s="1"/>
      <c r="H16" s="1"/>
    </row>
    <row r="17" spans="1:8">
      <c r="A17" s="1"/>
      <c r="E17" s="1"/>
      <c r="H17" s="1"/>
    </row>
    <row r="18" spans="1:8">
      <c r="A18" s="1"/>
      <c r="E18" s="1"/>
      <c r="H18" s="1"/>
    </row>
    <row r="19" spans="1:8">
      <c r="A19" s="1"/>
      <c r="E19" s="1"/>
      <c r="H19" s="1"/>
    </row>
    <row r="20" spans="1:8">
      <c r="A20" s="1"/>
      <c r="E20" s="1"/>
      <c r="H20" s="1"/>
    </row>
    <row r="21" spans="1:8">
      <c r="A21" s="1"/>
      <c r="E21" s="1"/>
      <c r="H21" s="1"/>
    </row>
    <row r="22" spans="1:8">
      <c r="A22" s="1"/>
      <c r="E22" s="1"/>
      <c r="H22" s="1"/>
    </row>
    <row r="23" spans="1:8">
      <c r="A23" s="1"/>
      <c r="E23" s="1"/>
      <c r="H23" s="1"/>
    </row>
    <row r="24" spans="1:8">
      <c r="A24" s="1"/>
      <c r="E24" s="1"/>
      <c r="H24" s="1"/>
    </row>
    <row r="25" spans="1:8">
      <c r="A25" s="1"/>
      <c r="E25" s="1"/>
      <c r="H25" s="1"/>
    </row>
    <row r="26" spans="1:8">
      <c r="A26" s="1"/>
      <c r="E26" s="1"/>
      <c r="H26" s="1"/>
    </row>
    <row r="27" spans="1:8">
      <c r="A27" s="1"/>
      <c r="E27" s="1"/>
      <c r="H27" s="1"/>
    </row>
    <row r="28" spans="1:8">
      <c r="A28" s="1"/>
      <c r="E28" s="1"/>
      <c r="H28" s="1"/>
    </row>
    <row r="29" spans="1:8">
      <c r="A29" s="1"/>
      <c r="E29" s="1"/>
      <c r="H29" s="1"/>
    </row>
    <row r="30" spans="1:8">
      <c r="A30" s="1"/>
      <c r="E30" s="1"/>
      <c r="H30" s="1"/>
    </row>
    <row r="31" spans="1:8">
      <c r="A31" s="1"/>
      <c r="E31" s="1"/>
      <c r="H31" s="1"/>
    </row>
    <row r="32" spans="1:8">
      <c r="A32" s="1"/>
      <c r="E32" s="1"/>
      <c r="H32" s="1"/>
    </row>
    <row r="33" spans="1:8">
      <c r="A33" s="1"/>
      <c r="E33" s="1"/>
      <c r="H33" s="1"/>
    </row>
    <row r="34" spans="1:8">
      <c r="A34" s="1"/>
      <c r="E34" s="1"/>
      <c r="H34" s="1"/>
    </row>
    <row r="35" spans="1:8">
      <c r="A35" s="1"/>
      <c r="E35" s="1"/>
      <c r="H35" s="1"/>
    </row>
    <row r="36" spans="1:8">
      <c r="A36" s="1"/>
      <c r="E36" s="1"/>
      <c r="H36" s="1"/>
    </row>
    <row r="37" spans="1:8">
      <c r="A37" s="1"/>
      <c r="E37" s="1"/>
      <c r="H37" s="1"/>
    </row>
    <row r="38" spans="1:8">
      <c r="A38" s="1"/>
      <c r="E38" s="1"/>
      <c r="H38" s="1"/>
    </row>
    <row r="39" spans="1:8">
      <c r="A39" s="1"/>
      <c r="E39" s="1"/>
      <c r="H39" s="1"/>
    </row>
    <row r="40" spans="1:8">
      <c r="A40" s="1"/>
      <c r="E40" s="1"/>
      <c r="H40" s="1"/>
    </row>
    <row r="41" spans="1:8">
      <c r="A41" s="1"/>
      <c r="E41" s="1"/>
      <c r="H41" s="1"/>
    </row>
    <row r="42" spans="1:8">
      <c r="A42" s="1"/>
      <c r="E42" s="1"/>
      <c r="H42" s="1"/>
    </row>
    <row r="43" spans="1:8">
      <c r="A43" s="1"/>
      <c r="E43" s="1"/>
      <c r="H43" s="1"/>
    </row>
    <row r="44" spans="1:8">
      <c r="A44" s="1"/>
      <c r="E44" s="1"/>
      <c r="H44" s="1"/>
    </row>
    <row r="45" spans="1:8">
      <c r="A45" s="1"/>
      <c r="E45" s="1"/>
      <c r="H45" s="1"/>
    </row>
    <row r="46" spans="1:8">
      <c r="A46" s="1"/>
      <c r="E46" s="1"/>
      <c r="H46" s="1"/>
    </row>
    <row r="47" spans="1:8">
      <c r="A47" s="1"/>
      <c r="E47" s="1"/>
      <c r="H47" s="1"/>
    </row>
    <row r="48" spans="1:8">
      <c r="A48" s="1"/>
      <c r="E48" s="1"/>
      <c r="H48" s="1"/>
    </row>
    <row r="49" spans="1:8">
      <c r="A49" s="1"/>
      <c r="E49" s="1"/>
      <c r="H49" s="1"/>
    </row>
    <row r="50" spans="1:8">
      <c r="A50" s="1"/>
      <c r="E50" s="1"/>
      <c r="H50" s="1"/>
    </row>
    <row r="51" spans="1:8">
      <c r="A51" s="1"/>
      <c r="E51" s="1"/>
      <c r="H51" s="1"/>
    </row>
    <row r="52" spans="1:8">
      <c r="A52" s="1"/>
      <c r="E52" s="1"/>
      <c r="H52" s="1"/>
    </row>
    <row r="53" spans="1:8">
      <c r="A53" s="1"/>
      <c r="E53" s="1"/>
      <c r="H53" s="1"/>
    </row>
    <row r="54" spans="1:8">
      <c r="A54" s="1"/>
      <c r="E54" s="1"/>
      <c r="H54" s="1"/>
    </row>
    <row r="55" spans="1:8">
      <c r="A55" s="1"/>
      <c r="E55" s="1"/>
      <c r="H55" s="1"/>
    </row>
    <row r="56" spans="1:8">
      <c r="A56" s="1"/>
      <c r="E56" s="1"/>
      <c r="H56" s="1"/>
    </row>
    <row r="57" spans="1:8">
      <c r="A57" s="1"/>
      <c r="E57" s="1"/>
      <c r="H57" s="1"/>
    </row>
    <row r="58" spans="1:8">
      <c r="A58" s="1"/>
      <c r="E58" s="1"/>
      <c r="H58" s="1"/>
    </row>
    <row r="59" spans="1:8">
      <c r="A59" s="1"/>
      <c r="E59" s="1"/>
      <c r="H59" s="1"/>
    </row>
    <row r="60" spans="1:8">
      <c r="A60" s="1"/>
      <c r="E60" s="1"/>
      <c r="H60" s="1"/>
    </row>
    <row r="61" spans="1:8">
      <c r="A61" s="1"/>
      <c r="E61" s="1"/>
      <c r="H61" s="1"/>
    </row>
    <row r="62" spans="1:8">
      <c r="A62" s="1"/>
      <c r="E62" s="1"/>
      <c r="H62" s="1"/>
    </row>
    <row r="63" spans="1:8">
      <c r="A63" s="1"/>
      <c r="E63" s="1"/>
      <c r="H63" s="1"/>
    </row>
    <row r="64" spans="1:8">
      <c r="A64" s="1"/>
      <c r="E64" s="1"/>
      <c r="H64" s="1"/>
    </row>
    <row r="65" spans="1:8">
      <c r="A65" s="1"/>
      <c r="E65" s="1"/>
      <c r="H65" s="1"/>
    </row>
    <row r="66" spans="1:8">
      <c r="A66" s="1"/>
      <c r="E66" s="1"/>
      <c r="H66" s="1"/>
    </row>
    <row r="67" spans="1:8">
      <c r="A67" s="1"/>
      <c r="E67" s="1"/>
      <c r="H67" s="1"/>
    </row>
    <row r="68" spans="1:8">
      <c r="A68" s="1"/>
      <c r="E68" s="1"/>
      <c r="H68" s="1"/>
    </row>
    <row r="69" spans="1:8">
      <c r="A69" s="1"/>
      <c r="E69" s="1"/>
      <c r="H69" s="1"/>
    </row>
    <row r="70" spans="1:8">
      <c r="A70" s="1"/>
      <c r="E70" s="1"/>
      <c r="H70" s="1"/>
    </row>
    <row r="71" spans="1:8">
      <c r="A71" s="1"/>
      <c r="E71" s="1"/>
      <c r="H71" s="1"/>
    </row>
    <row r="72" spans="1:8">
      <c r="A72" s="1"/>
      <c r="E72" s="1"/>
      <c r="H72" s="1"/>
    </row>
    <row r="73" spans="1:8">
      <c r="A73" s="1"/>
      <c r="E73" s="1"/>
      <c r="H73" s="1"/>
    </row>
    <row r="74" spans="1:8">
      <c r="A74" s="1"/>
      <c r="E74" s="1"/>
      <c r="H74" s="1"/>
    </row>
    <row r="75" spans="1:8">
      <c r="A75" s="1"/>
      <c r="E75" s="1"/>
      <c r="H75" s="1"/>
    </row>
    <row r="76" spans="1:8">
      <c r="A76" s="1"/>
      <c r="E76" s="1"/>
      <c r="H76" s="1"/>
    </row>
    <row r="77" spans="1:8">
      <c r="A77" s="1"/>
      <c r="E77" s="1"/>
      <c r="H77" s="1"/>
    </row>
    <row r="78" spans="1:8">
      <c r="A78" s="1"/>
      <c r="E78" s="1"/>
      <c r="H78" s="1"/>
    </row>
    <row r="79" spans="1:8">
      <c r="A79" s="1"/>
      <c r="E79" s="1"/>
      <c r="H79" s="1"/>
    </row>
    <row r="80" spans="1:8">
      <c r="A80" s="1"/>
      <c r="E80" s="1"/>
      <c r="H80" s="1"/>
    </row>
    <row r="81" spans="1:8">
      <c r="A81" s="1"/>
      <c r="E81" s="1"/>
      <c r="H81" s="1"/>
    </row>
    <row r="82" spans="1:8">
      <c r="A82" s="1"/>
      <c r="E82" s="1"/>
      <c r="H82" s="1"/>
    </row>
    <row r="83" spans="1:8">
      <c r="A83" s="1"/>
      <c r="E83" s="1"/>
      <c r="H83" s="1"/>
    </row>
    <row r="84" spans="1:8">
      <c r="A84" s="1"/>
      <c r="E84" s="1"/>
      <c r="H84" s="1"/>
    </row>
    <row r="85" spans="1:8">
      <c r="A85" s="1"/>
      <c r="E85" s="1"/>
      <c r="H85" s="1"/>
    </row>
    <row r="86" spans="1:8">
      <c r="A86" s="1"/>
      <c r="E86" s="1"/>
      <c r="H86" s="1"/>
    </row>
    <row r="87" spans="1:8">
      <c r="A87" s="1"/>
      <c r="E87" s="1"/>
      <c r="H87" s="1"/>
    </row>
    <row r="88" spans="1:8">
      <c r="A88" s="1"/>
      <c r="E88" s="1"/>
      <c r="H88" s="1"/>
    </row>
    <row r="89" spans="1:8">
      <c r="A89" s="1"/>
      <c r="E89" s="1"/>
      <c r="H89" s="1"/>
    </row>
    <row r="90" spans="1:8">
      <c r="A90" s="1"/>
      <c r="E90" s="1"/>
      <c r="H90" s="1"/>
    </row>
    <row r="91" spans="1:8">
      <c r="A91" s="1"/>
      <c r="E91" s="1"/>
      <c r="H91" s="1"/>
    </row>
    <row r="92" spans="1:8">
      <c r="A92" s="1"/>
      <c r="E92" s="1"/>
      <c r="H92" s="1"/>
    </row>
    <row r="93" spans="1:8">
      <c r="A93" s="1"/>
      <c r="E93" s="1"/>
      <c r="H93" s="1"/>
    </row>
    <row r="94" spans="1:8">
      <c r="A94" s="1"/>
      <c r="E94" s="1"/>
      <c r="H94" s="1"/>
    </row>
    <row r="95" spans="1:8">
      <c r="A95" s="1"/>
      <c r="E95" s="1"/>
      <c r="H95" s="1"/>
    </row>
    <row r="96" spans="1:8">
      <c r="A96" s="1"/>
      <c r="E96" s="1"/>
      <c r="H96" s="1"/>
    </row>
    <row r="97" spans="1:8">
      <c r="A97" s="1"/>
      <c r="E97" s="1"/>
      <c r="H97" s="1"/>
    </row>
    <row r="98" spans="1:8">
      <c r="A98" s="1"/>
      <c r="E98" s="1"/>
      <c r="H98" s="1"/>
    </row>
    <row r="99" spans="1:8">
      <c r="A99" s="1"/>
      <c r="E99" s="1"/>
      <c r="H99" s="1"/>
    </row>
    <row r="100" spans="1:8">
      <c r="A100" s="1"/>
      <c r="E100" s="1"/>
      <c r="H100" s="1"/>
    </row>
    <row r="101" spans="1:8">
      <c r="A101" s="1"/>
      <c r="E101" s="1"/>
      <c r="H101" s="1"/>
    </row>
    <row r="102" spans="1:8">
      <c r="A102" s="1"/>
      <c r="E102" s="1"/>
      <c r="H102" s="1"/>
    </row>
    <row r="103" spans="1:8">
      <c r="A103" s="1"/>
      <c r="E103" s="1"/>
      <c r="H103" s="1"/>
    </row>
    <row r="104" spans="1:8">
      <c r="A104" s="1"/>
      <c r="E104" s="1"/>
      <c r="H104" s="1"/>
    </row>
    <row r="105" spans="1:8">
      <c r="A105" s="1"/>
      <c r="E105" s="1"/>
      <c r="H105" s="1"/>
    </row>
    <row r="106" spans="1:8">
      <c r="A106" s="1"/>
      <c r="E106" s="1"/>
      <c r="H106" s="1"/>
    </row>
    <row r="107" spans="1:8">
      <c r="A107" s="1"/>
      <c r="E107" s="1"/>
      <c r="H107" s="1"/>
    </row>
    <row r="108" spans="1:8">
      <c r="A108" s="1"/>
      <c r="E108" s="1"/>
      <c r="H108" s="1"/>
    </row>
    <row r="109" spans="1:8">
      <c r="A109" s="1"/>
      <c r="E109" s="1"/>
      <c r="H109" s="1"/>
    </row>
    <row r="110" spans="1:8">
      <c r="A110" s="1"/>
      <c r="E110" s="1"/>
      <c r="H110" s="1"/>
    </row>
    <row r="111" spans="1:8">
      <c r="A111" s="1"/>
      <c r="E111" s="1"/>
      <c r="H111" s="1"/>
    </row>
    <row r="112" spans="1:8">
      <c r="A112" s="1"/>
      <c r="E112" s="1"/>
      <c r="H112" s="1"/>
    </row>
    <row r="113" spans="1:8">
      <c r="A113" s="1"/>
      <c r="E113" s="1"/>
      <c r="H113" s="1"/>
    </row>
    <row r="114" spans="1:8">
      <c r="A114" s="1"/>
      <c r="E114" s="1"/>
      <c r="H114" s="1"/>
    </row>
    <row r="115" spans="1:8">
      <c r="A115" s="1"/>
      <c r="E115" s="1"/>
      <c r="H115" s="1"/>
    </row>
    <row r="116" spans="1:8">
      <c r="A116" s="1"/>
      <c r="E116" s="1"/>
      <c r="H116" s="1"/>
    </row>
    <row r="117" spans="1:8">
      <c r="A117" s="1"/>
      <c r="E117" s="1"/>
      <c r="H117" s="1"/>
    </row>
    <row r="118" spans="1:8">
      <c r="A118" s="1"/>
      <c r="E118" s="1"/>
      <c r="H118" s="1"/>
    </row>
    <row r="119" spans="1:8">
      <c r="A119" s="1"/>
      <c r="E119" s="1"/>
      <c r="H119" s="1"/>
    </row>
    <row r="120" spans="1:8">
      <c r="A120" s="1"/>
      <c r="E120" s="1"/>
      <c r="H120" s="1"/>
    </row>
    <row r="121" spans="1:8">
      <c r="A121" s="1"/>
      <c r="E121" s="1"/>
      <c r="H121" s="1"/>
    </row>
    <row r="122" spans="1:8">
      <c r="A122" s="1"/>
      <c r="E122" s="1"/>
      <c r="H122" s="1"/>
    </row>
    <row r="123" spans="1:8">
      <c r="A123" s="1"/>
      <c r="E123" s="1"/>
      <c r="H123" s="1"/>
    </row>
    <row r="124" spans="1:8">
      <c r="A124" s="1"/>
      <c r="E124" s="1"/>
      <c r="H124" s="1"/>
    </row>
    <row r="125" spans="1:8">
      <c r="A125" s="1"/>
      <c r="E125" s="1"/>
      <c r="H125" s="1"/>
    </row>
    <row r="126" spans="1:8">
      <c r="A126" s="1"/>
      <c r="E126" s="1"/>
      <c r="H126" s="1"/>
    </row>
    <row r="127" spans="1:8">
      <c r="A127" s="1"/>
      <c r="E127" s="1"/>
      <c r="H127" s="1"/>
    </row>
    <row r="128" spans="1:8">
      <c r="A128" s="1"/>
      <c r="E128" s="1"/>
      <c r="H128" s="1"/>
    </row>
    <row r="129" spans="1:8">
      <c r="A129" s="1"/>
      <c r="E129" s="1"/>
      <c r="H129" s="1"/>
    </row>
    <row r="130" spans="1:8">
      <c r="A130" s="1"/>
      <c r="E130" s="1"/>
      <c r="H130" s="1"/>
    </row>
    <row r="131" spans="1:8">
      <c r="A131" s="1"/>
      <c r="E131" s="1"/>
      <c r="H131" s="1"/>
    </row>
    <row r="132" spans="1:8">
      <c r="A132" s="1"/>
      <c r="E132" s="1"/>
      <c r="H132" s="1"/>
    </row>
    <row r="133" spans="1:8">
      <c r="A133" s="1"/>
      <c r="E133" s="1"/>
      <c r="H133" s="1"/>
    </row>
    <row r="134" spans="1:8">
      <c r="A134" s="1"/>
      <c r="E134" s="1"/>
      <c r="H134" s="1"/>
    </row>
    <row r="135" spans="1:8">
      <c r="A135" s="1"/>
      <c r="E135" s="1"/>
      <c r="H135" s="1"/>
    </row>
    <row r="136" spans="1:8">
      <c r="A136" s="1"/>
      <c r="E136" s="1"/>
      <c r="H136" s="1"/>
    </row>
    <row r="137" spans="1:8">
      <c r="A137" s="1"/>
      <c r="E137" s="1"/>
      <c r="H137" s="1"/>
    </row>
    <row r="138" spans="1:8">
      <c r="A138" s="1"/>
      <c r="E138" s="1"/>
      <c r="H138" s="1"/>
    </row>
    <row r="139" spans="1:8">
      <c r="A139" s="1"/>
      <c r="E139" s="1"/>
      <c r="H139" s="1"/>
    </row>
    <row r="140" spans="1:8">
      <c r="A140" s="1"/>
      <c r="E140" s="1"/>
      <c r="H140" s="1"/>
    </row>
    <row r="141" spans="1:8">
      <c r="A141" s="1"/>
      <c r="E141" s="1"/>
      <c r="H141" s="1"/>
    </row>
    <row r="142" spans="1:8">
      <c r="A142" s="1"/>
      <c r="E142" s="1"/>
      <c r="H142" s="1"/>
    </row>
    <row r="143" spans="1:8">
      <c r="A143" s="1"/>
      <c r="E143" s="1"/>
      <c r="H143" s="1"/>
    </row>
    <row r="144" spans="1:8">
      <c r="A144" s="1"/>
      <c r="E144" s="1"/>
      <c r="H144" s="1"/>
    </row>
    <row r="145" spans="1:8">
      <c r="A145" s="1"/>
      <c r="E145" s="1"/>
      <c r="H145" s="1"/>
    </row>
    <row r="146" spans="1:8">
      <c r="A146" s="1"/>
      <c r="E146" s="1"/>
      <c r="H146" s="1"/>
    </row>
    <row r="147" spans="1:8">
      <c r="A147" s="1"/>
      <c r="E147" s="1"/>
      <c r="H147" s="1"/>
    </row>
    <row r="148" spans="1:8">
      <c r="A148" s="1"/>
      <c r="E148" s="1"/>
      <c r="H148" s="1"/>
    </row>
    <row r="149" spans="1:8">
      <c r="A149" s="1"/>
      <c r="E149" s="1"/>
      <c r="H149" s="1"/>
    </row>
    <row r="150" spans="1:8">
      <c r="A150" s="1"/>
      <c r="E150" s="1"/>
      <c r="H150" s="1"/>
    </row>
    <row r="151" spans="1:8">
      <c r="A151" s="1"/>
      <c r="E151" s="1"/>
      <c r="H151" s="1"/>
    </row>
    <row r="152" spans="1:8">
      <c r="A152" s="1"/>
      <c r="E152" s="1"/>
      <c r="H152" s="1"/>
    </row>
    <row r="153" spans="1:8">
      <c r="A153" s="1"/>
      <c r="E153" s="1"/>
      <c r="H153" s="1"/>
    </row>
    <row r="154" spans="1:8">
      <c r="A154" s="1"/>
      <c r="E154" s="1"/>
      <c r="H154" s="1"/>
    </row>
    <row r="155" spans="1:8">
      <c r="A155" s="1"/>
      <c r="E155" s="1"/>
      <c r="H155" s="1"/>
    </row>
    <row r="156" spans="1:8">
      <c r="A156" s="1"/>
      <c r="E156" s="1"/>
      <c r="H156" s="1"/>
    </row>
    <row r="157" spans="1:8">
      <c r="A157" s="1"/>
      <c r="E157" s="1"/>
      <c r="H157" s="1"/>
    </row>
    <row r="158" spans="1:8">
      <c r="A158" s="1"/>
      <c r="E158" s="1"/>
      <c r="H158" s="1"/>
    </row>
    <row r="159" spans="1:8">
      <c r="A159" s="1"/>
      <c r="E159" s="1"/>
      <c r="H159" s="1"/>
    </row>
    <row r="160" spans="1:8">
      <c r="A160" s="1"/>
      <c r="E160" s="1"/>
      <c r="H160" s="1"/>
    </row>
    <row r="161" spans="1:8">
      <c r="A161" s="1"/>
      <c r="E161" s="1"/>
      <c r="H161" s="1"/>
    </row>
    <row r="162" spans="1:8">
      <c r="A162" s="1"/>
      <c r="E162" s="1"/>
      <c r="H162" s="1"/>
    </row>
    <row r="163" spans="1:8">
      <c r="A163" s="1"/>
      <c r="E163" s="1"/>
      <c r="H163" s="1"/>
    </row>
    <row r="164" spans="1:8">
      <c r="A164" s="1"/>
      <c r="E164" s="1"/>
      <c r="H164" s="1"/>
    </row>
    <row r="165" spans="1:8">
      <c r="A165" s="1"/>
      <c r="E165" s="1"/>
      <c r="H165" s="1"/>
    </row>
    <row r="166" spans="1:8">
      <c r="A166" s="1"/>
      <c r="E166" s="1"/>
      <c r="H166" s="1"/>
    </row>
    <row r="167" spans="1:8">
      <c r="A167" s="1"/>
      <c r="E167" s="1"/>
      <c r="H167" s="1"/>
    </row>
    <row r="168" spans="1:8">
      <c r="A168" s="1"/>
      <c r="E168" s="1"/>
      <c r="H168" s="1"/>
    </row>
    <row r="169" spans="1:8">
      <c r="A169" s="1"/>
      <c r="E169" s="1"/>
      <c r="H169" s="1"/>
    </row>
    <row r="170" spans="1:8">
      <c r="A170" s="1"/>
      <c r="E170" s="1"/>
      <c r="H170" s="1"/>
    </row>
    <row r="171" spans="1:8">
      <c r="A171" s="1"/>
      <c r="E171" s="1"/>
      <c r="H171" s="1"/>
    </row>
    <row r="172" spans="1:8">
      <c r="A172" s="1"/>
      <c r="E172" s="1"/>
      <c r="H172" s="1"/>
    </row>
    <row r="173" spans="1:8">
      <c r="A173" s="1"/>
      <c r="E173" s="1"/>
      <c r="H173" s="1"/>
    </row>
    <row r="174" spans="1:8">
      <c r="A174" s="1"/>
      <c r="E174" s="1"/>
      <c r="H174" s="1"/>
    </row>
    <row r="175" spans="1:8">
      <c r="A175" s="1"/>
      <c r="E175" s="1"/>
      <c r="H175" s="1"/>
    </row>
    <row r="176" spans="1:8">
      <c r="A176" s="1"/>
      <c r="E176" s="1"/>
      <c r="H176" s="1"/>
    </row>
    <row r="177" spans="1:8">
      <c r="A177" s="1"/>
      <c r="E177" s="1"/>
      <c r="H177" s="1"/>
    </row>
    <row r="178" spans="1:8">
      <c r="A178" s="1"/>
      <c r="E178" s="1"/>
      <c r="H178" s="1"/>
    </row>
    <row r="179" spans="1:8">
      <c r="A179" s="1"/>
      <c r="E179" s="1"/>
      <c r="H179" s="1"/>
    </row>
    <row r="180" spans="1:8">
      <c r="A180" s="1"/>
      <c r="E180" s="1"/>
      <c r="H180" s="1"/>
    </row>
    <row r="181" spans="1:8">
      <c r="A181" s="1"/>
      <c r="E181" s="1"/>
      <c r="H181" s="1"/>
    </row>
    <row r="182" spans="1:8">
      <c r="A182" s="1"/>
      <c r="E182" s="1"/>
      <c r="H182" s="1"/>
    </row>
    <row r="183" spans="1:8">
      <c r="A183" s="1"/>
      <c r="E183" s="1"/>
      <c r="H183" s="1"/>
    </row>
    <row r="184" spans="1:8">
      <c r="A184" s="1"/>
      <c r="E184" s="1"/>
      <c r="H184" s="1"/>
    </row>
    <row r="185" spans="1:8">
      <c r="A185" s="1"/>
      <c r="E185" s="1"/>
      <c r="H185" s="1"/>
    </row>
    <row r="186" spans="1:8">
      <c r="A186" s="1"/>
      <c r="E186" s="1"/>
      <c r="H186" s="1"/>
    </row>
    <row r="187" spans="1:8">
      <c r="A187" s="1"/>
      <c r="E187" s="1"/>
      <c r="H187" s="1"/>
    </row>
    <row r="188" spans="1:8">
      <c r="A188" s="1"/>
      <c r="E188" s="1"/>
      <c r="H188" s="1"/>
    </row>
    <row r="189" spans="1:8">
      <c r="A189" s="1"/>
      <c r="E189" s="1"/>
      <c r="H189" s="1"/>
    </row>
    <row r="190" spans="1:8">
      <c r="A190" s="1"/>
      <c r="E190" s="1"/>
      <c r="H190" s="1"/>
    </row>
    <row r="191" spans="1:8">
      <c r="A191" s="1"/>
      <c r="E191" s="1"/>
      <c r="H191" s="1"/>
    </row>
    <row r="192" spans="1:8">
      <c r="A192" s="1"/>
      <c r="E192" s="1"/>
      <c r="H192" s="1"/>
    </row>
    <row r="193" spans="1:8">
      <c r="A193" s="1"/>
      <c r="E193" s="1"/>
      <c r="H193" s="1"/>
    </row>
    <row r="194" spans="1:8">
      <c r="A194" s="1"/>
      <c r="E194" s="1"/>
      <c r="H194" s="1"/>
    </row>
    <row r="195" spans="1:8">
      <c r="A195" s="1"/>
      <c r="E195" s="1"/>
      <c r="H195" s="1"/>
    </row>
    <row r="196" spans="1:8">
      <c r="A196" s="1"/>
      <c r="E196" s="1"/>
      <c r="H196" s="1"/>
    </row>
    <row r="197" spans="1:8">
      <c r="A197" s="1"/>
      <c r="E197" s="1"/>
      <c r="H197" s="1"/>
    </row>
    <row r="198" spans="1:8">
      <c r="A198" s="1"/>
      <c r="E198" s="1"/>
      <c r="H198" s="1"/>
    </row>
    <row r="199" spans="1:8">
      <c r="A199" s="1"/>
      <c r="E199" s="1"/>
      <c r="H199" s="1"/>
    </row>
    <row r="200" spans="1:8">
      <c r="A200" s="1"/>
      <c r="E200" s="1"/>
      <c r="H200" s="1"/>
    </row>
    <row r="201" spans="1:8">
      <c r="A201" s="1"/>
      <c r="E201" s="1"/>
      <c r="H201" s="1"/>
    </row>
    <row r="202" spans="1:8">
      <c r="A202" s="1"/>
      <c r="E202" s="1"/>
      <c r="H202" s="1"/>
    </row>
    <row r="203" spans="1:8">
      <c r="A203" s="1"/>
      <c r="E203" s="1"/>
      <c r="H203" s="1"/>
    </row>
    <row r="204" spans="1:8">
      <c r="A204" s="1"/>
      <c r="E204" s="1"/>
      <c r="H204" s="1"/>
    </row>
    <row r="205" spans="1:8">
      <c r="A205" s="1"/>
      <c r="E205" s="1"/>
      <c r="H205" s="1"/>
    </row>
    <row r="206" spans="1:8">
      <c r="A206" s="1"/>
      <c r="E206" s="1"/>
      <c r="H206" s="1"/>
    </row>
    <row r="207" spans="1:8">
      <c r="A207" s="1"/>
      <c r="E207" s="1"/>
      <c r="H207" s="1"/>
    </row>
    <row r="208" spans="1:8">
      <c r="A208" s="1"/>
      <c r="E208" s="1"/>
      <c r="H208" s="1"/>
    </row>
    <row r="209" spans="1:8">
      <c r="A209" s="1"/>
      <c r="E209" s="1"/>
      <c r="H209" s="1"/>
    </row>
    <row r="210" spans="1:8">
      <c r="A210" s="1"/>
      <c r="E210" s="1"/>
      <c r="H210" s="1"/>
    </row>
    <row r="211" spans="1:8">
      <c r="A211" s="1"/>
      <c r="E211" s="1"/>
      <c r="H211" s="1"/>
    </row>
    <row r="212" spans="1:8">
      <c r="A212" s="1"/>
      <c r="E212" s="1"/>
      <c r="H212" s="1"/>
    </row>
    <row r="213" spans="1:8">
      <c r="A213" s="1"/>
      <c r="E213" s="1"/>
      <c r="H213" s="1"/>
    </row>
    <row r="214" spans="1:8">
      <c r="A214" s="1"/>
      <c r="E214" s="1"/>
      <c r="H214" s="1"/>
    </row>
    <row r="215" spans="1:8">
      <c r="A215" s="1"/>
      <c r="E215" s="1"/>
      <c r="H215" s="1"/>
    </row>
    <row r="216" spans="1:8">
      <c r="A216" s="1"/>
      <c r="E216" s="1"/>
      <c r="H216" s="1"/>
    </row>
    <row r="217" spans="1:8">
      <c r="A217" s="1"/>
      <c r="E217" s="1"/>
      <c r="H217" s="1"/>
    </row>
    <row r="218" spans="1:8">
      <c r="A218" s="1"/>
      <c r="E218" s="1"/>
      <c r="H218" s="1"/>
    </row>
    <row r="219" spans="1:8">
      <c r="A219" s="1"/>
      <c r="E219" s="1"/>
      <c r="H219" s="1"/>
    </row>
    <row r="220" spans="1:8">
      <c r="A220" s="1"/>
      <c r="E220" s="1"/>
      <c r="H220" s="1"/>
    </row>
    <row r="221" spans="1:8">
      <c r="A221" s="1"/>
      <c r="E221" s="1"/>
      <c r="H221" s="1"/>
    </row>
    <row r="222" spans="1:8">
      <c r="A222" s="1"/>
      <c r="E222" s="1"/>
      <c r="H222" s="1"/>
    </row>
    <row r="223" spans="1:8">
      <c r="A223" s="1"/>
      <c r="E223" s="1"/>
      <c r="H223" s="1"/>
    </row>
    <row r="224" spans="1:8">
      <c r="A224" s="1"/>
      <c r="E224" s="1"/>
      <c r="H224" s="1"/>
    </row>
    <row r="225" spans="1:8">
      <c r="A225" s="1"/>
      <c r="E225" s="1"/>
      <c r="H225" s="1"/>
    </row>
    <row r="226" spans="1:8">
      <c r="A226" s="1"/>
      <c r="E226" s="1"/>
      <c r="H226" s="1"/>
    </row>
    <row r="227" spans="1:8">
      <c r="A227" s="1"/>
      <c r="E227" s="1"/>
      <c r="H227" s="1"/>
    </row>
    <row r="228" spans="1:8">
      <c r="A228" s="1"/>
      <c r="E228" s="1"/>
      <c r="H228" s="1"/>
    </row>
    <row r="229" spans="1:8">
      <c r="A229" s="1"/>
      <c r="E229" s="1"/>
      <c r="H229" s="1"/>
    </row>
    <row r="230" spans="1:8">
      <c r="A230" s="1"/>
      <c r="E230" s="1"/>
      <c r="H230" s="1"/>
    </row>
    <row r="231" spans="1:8">
      <c r="A231" s="1"/>
      <c r="E231" s="1"/>
      <c r="H231" s="1"/>
    </row>
    <row r="232" spans="1:8">
      <c r="A232" s="1"/>
      <c r="E232" s="1"/>
      <c r="H232" s="1"/>
    </row>
    <row r="233" spans="1:8">
      <c r="A233" s="1"/>
      <c r="E233" s="1"/>
      <c r="H233" s="1"/>
    </row>
    <row r="234" spans="1:8">
      <c r="A234" s="1"/>
      <c r="E234" s="1"/>
      <c r="H234" s="1"/>
    </row>
    <row r="235" spans="1:8">
      <c r="A235" s="1"/>
      <c r="E235" s="1"/>
      <c r="H235" s="1"/>
    </row>
    <row r="236" spans="1:8">
      <c r="A236" s="1"/>
      <c r="E236" s="1"/>
      <c r="H236" s="1"/>
    </row>
    <row r="237" spans="1:8">
      <c r="A237" s="1"/>
      <c r="E237" s="1"/>
      <c r="H237" s="1"/>
    </row>
    <row r="238" spans="1:8">
      <c r="A238" s="1"/>
      <c r="E238" s="1"/>
      <c r="H238" s="1"/>
    </row>
    <row r="239" spans="1:8">
      <c r="A239" s="1"/>
      <c r="E239" s="1"/>
      <c r="H239" s="1"/>
    </row>
    <row r="240" spans="1:8">
      <c r="A240" s="1"/>
      <c r="E240" s="1"/>
      <c r="H240" s="1"/>
    </row>
    <row r="241" spans="1:8">
      <c r="A241" s="1"/>
      <c r="E241" s="1"/>
      <c r="H241" s="1"/>
    </row>
    <row r="242" spans="1:8">
      <c r="A242" s="1"/>
      <c r="E242" s="1"/>
      <c r="H242" s="1"/>
    </row>
    <row r="243" spans="1:8">
      <c r="A243" s="1"/>
      <c r="E243" s="1"/>
      <c r="H243" s="1"/>
    </row>
    <row r="244" spans="1:8">
      <c r="A244" s="1"/>
      <c r="E244" s="1"/>
      <c r="H244" s="1"/>
    </row>
    <row r="245" spans="1:8">
      <c r="A245" s="1"/>
      <c r="E245" s="1"/>
      <c r="H245" s="1"/>
    </row>
    <row r="246" spans="1:8">
      <c r="A246" s="1"/>
      <c r="E246" s="1"/>
      <c r="H246" s="1"/>
    </row>
    <row r="247" spans="1:8">
      <c r="A247" s="1"/>
      <c r="E247" s="1"/>
      <c r="H247" s="1"/>
    </row>
    <row r="248" spans="1:8">
      <c r="A248" s="1"/>
      <c r="E248" s="1"/>
      <c r="H248" s="1"/>
    </row>
    <row r="249" spans="1:8">
      <c r="A249" s="1"/>
      <c r="E249" s="1"/>
      <c r="H249" s="1"/>
    </row>
    <row r="250" spans="1:8">
      <c r="A250" s="1"/>
      <c r="E250" s="1"/>
      <c r="H250" s="1"/>
    </row>
    <row r="251" spans="1:8">
      <c r="A251" s="1"/>
      <c r="E251" s="1"/>
      <c r="H251" s="1"/>
    </row>
    <row r="252" spans="1:8">
      <c r="A252" s="1"/>
      <c r="E252" s="1"/>
      <c r="H252" s="1"/>
    </row>
    <row r="253" spans="1:8">
      <c r="A253" s="1"/>
      <c r="E253" s="1"/>
      <c r="H253" s="1"/>
    </row>
    <row r="254" spans="1:8">
      <c r="A254" s="1"/>
      <c r="E254" s="1"/>
      <c r="H254" s="1"/>
    </row>
    <row r="255" spans="1:8">
      <c r="A255" s="1"/>
      <c r="E255" s="1"/>
      <c r="H255" s="1"/>
    </row>
    <row r="256" spans="1:8">
      <c r="A256" s="1"/>
      <c r="E256" s="1"/>
      <c r="H256" s="1"/>
    </row>
    <row r="257" spans="1:8">
      <c r="A257" s="1"/>
      <c r="E257" s="1"/>
      <c r="H257" s="1"/>
    </row>
    <row r="258" spans="1:8">
      <c r="A258" s="1"/>
      <c r="E258" s="1"/>
      <c r="H258" s="1"/>
    </row>
    <row r="259" spans="1:8">
      <c r="A259" s="1"/>
      <c r="E259" s="1"/>
      <c r="H259" s="1"/>
    </row>
    <row r="260" spans="1:8">
      <c r="A260" s="1"/>
      <c r="E260" s="1"/>
      <c r="H260" s="1"/>
    </row>
    <row r="261" spans="1:8">
      <c r="A261" s="1"/>
      <c r="E261" s="1"/>
      <c r="H261" s="1"/>
    </row>
    <row r="262" spans="1:8">
      <c r="A262" s="1"/>
      <c r="E262" s="1"/>
      <c r="H262" s="1"/>
    </row>
    <row r="263" spans="1:8">
      <c r="A263" s="1"/>
      <c r="E263" s="1"/>
      <c r="H263" s="1"/>
    </row>
    <row r="264" spans="1:8">
      <c r="A264" s="1"/>
      <c r="E264" s="1"/>
      <c r="H264" s="1"/>
    </row>
    <row r="265" spans="1:8">
      <c r="A265" s="1"/>
      <c r="E265" s="1"/>
      <c r="H265" s="1"/>
    </row>
    <row r="266" spans="1:8">
      <c r="A266" s="1"/>
      <c r="E266" s="1"/>
      <c r="H266" s="1"/>
    </row>
    <row r="267" spans="1:8">
      <c r="A267" s="1"/>
      <c r="E267" s="1"/>
      <c r="H267" s="1"/>
    </row>
    <row r="268" spans="1:8">
      <c r="A268" s="1"/>
      <c r="E268" s="1"/>
      <c r="H268" s="1"/>
    </row>
    <row r="269" spans="1:8">
      <c r="A269" s="1"/>
      <c r="E269" s="1"/>
      <c r="H269" s="1"/>
    </row>
    <row r="270" spans="1:8">
      <c r="A270" s="1"/>
      <c r="E270" s="1"/>
      <c r="H270" s="1"/>
    </row>
    <row r="271" spans="1:8">
      <c r="A271" s="1"/>
      <c r="E271" s="1"/>
      <c r="H271" s="1"/>
    </row>
    <row r="272" spans="1:8">
      <c r="A272" s="1"/>
      <c r="E272" s="1"/>
      <c r="H272" s="1"/>
    </row>
    <row r="273" spans="1:8">
      <c r="A273" s="1"/>
      <c r="E273" s="1"/>
      <c r="H273" s="1"/>
    </row>
    <row r="274" spans="1:8">
      <c r="A274" s="1"/>
      <c r="E274" s="1"/>
      <c r="H274" s="1"/>
    </row>
    <row r="275" spans="1:8">
      <c r="A275" s="1"/>
      <c r="E275" s="1"/>
      <c r="H275" s="1"/>
    </row>
    <row r="276" spans="1:8">
      <c r="A276" s="1"/>
      <c r="E276" s="1"/>
      <c r="H276" s="1"/>
    </row>
    <row r="277" spans="1:8">
      <c r="A277" s="1"/>
      <c r="E277" s="1"/>
      <c r="H277" s="1"/>
    </row>
    <row r="278" spans="1:8">
      <c r="A278" s="1"/>
      <c r="E278" s="1"/>
      <c r="H278" s="1"/>
    </row>
    <row r="279" spans="1:8">
      <c r="A279" s="1"/>
      <c r="E279" s="1"/>
      <c r="H279" s="1"/>
    </row>
    <row r="280" spans="1:8">
      <c r="A280" s="1"/>
      <c r="E280" s="1"/>
      <c r="H280" s="1"/>
    </row>
    <row r="281" spans="1:8">
      <c r="A281" s="1"/>
      <c r="E281" s="1"/>
      <c r="H281" s="1"/>
    </row>
    <row r="282" spans="1:8">
      <c r="A282" s="1"/>
      <c r="E282" s="1"/>
      <c r="H282" s="1"/>
    </row>
    <row r="283" spans="1:8">
      <c r="A283" s="1"/>
      <c r="E283" s="1"/>
      <c r="H283" s="1"/>
    </row>
    <row r="284" spans="1:8">
      <c r="A284" s="1"/>
      <c r="E284" s="1"/>
      <c r="H284" s="1"/>
    </row>
    <row r="285" spans="1:8">
      <c r="A285" s="1"/>
      <c r="E285" s="1"/>
      <c r="H285" s="1"/>
    </row>
    <row r="286" spans="1:8">
      <c r="A286" s="1"/>
      <c r="E286" s="1"/>
      <c r="H286" s="1"/>
    </row>
    <row r="287" spans="1:8">
      <c r="A287" s="1"/>
      <c r="E287" s="1"/>
      <c r="H287" s="1"/>
    </row>
    <row r="288" spans="1:8">
      <c r="A288" s="1"/>
      <c r="E288" s="1"/>
      <c r="H288" s="1"/>
    </row>
    <row r="289" spans="1:8">
      <c r="A289" s="1"/>
      <c r="E289" s="1"/>
      <c r="H289" s="1"/>
    </row>
    <row r="290" spans="1:8">
      <c r="A290" s="1"/>
      <c r="E290" s="1"/>
      <c r="H290" s="1"/>
    </row>
    <row r="291" spans="1:8">
      <c r="A291" s="1"/>
      <c r="E291" s="1"/>
      <c r="H291" s="1"/>
    </row>
    <row r="292" spans="1:8">
      <c r="A292" s="1"/>
      <c r="E292" s="1"/>
      <c r="H292" s="1"/>
    </row>
    <row r="293" spans="1:8">
      <c r="A293" s="1"/>
      <c r="E293" s="1"/>
      <c r="H293" s="1"/>
    </row>
    <row r="294" spans="1:8">
      <c r="A294" s="1"/>
      <c r="E294" s="1"/>
      <c r="H294" s="1"/>
    </row>
    <row r="295" spans="1:8">
      <c r="A295" s="1"/>
      <c r="E295" s="1"/>
      <c r="H295" s="1"/>
    </row>
    <row r="296" spans="1:8">
      <c r="A296" s="1"/>
      <c r="E296" s="1"/>
      <c r="H296" s="1"/>
    </row>
    <row r="297" spans="1:8">
      <c r="A297" s="1"/>
      <c r="E297" s="1"/>
      <c r="H297" s="1"/>
    </row>
    <row r="298" spans="1:8">
      <c r="A298" s="1"/>
      <c r="E298" s="1"/>
      <c r="H298" s="1"/>
    </row>
    <row r="299" spans="1:8">
      <c r="A299" s="1"/>
      <c r="E299" s="1"/>
      <c r="H299" s="1"/>
    </row>
    <row r="300" spans="1:8">
      <c r="A300" s="1"/>
      <c r="E300" s="1"/>
      <c r="H300" s="1"/>
    </row>
    <row r="301" spans="1:8">
      <c r="A301" s="1"/>
      <c r="E301" s="1"/>
      <c r="H301" s="1"/>
    </row>
    <row r="302" spans="1:8">
      <c r="A302" s="1"/>
      <c r="E302" s="1"/>
      <c r="H302" s="1"/>
    </row>
    <row r="303" spans="1:8">
      <c r="A303" s="1"/>
      <c r="E303" s="1"/>
      <c r="H303" s="1"/>
    </row>
  </sheetData>
  <mergeCells count="1">
    <mergeCell ref="A1:J1"/>
  </mergeCells>
  <dataValidations count="3">
    <dataValidation type="list" sqref="B4:B303" xr:uid="{00000000-0002-0000-0300-000000000000}">
      <formula1>INDIRECT("Setup!$D$4:$D$14")</formula1>
    </dataValidation>
    <dataValidation type="list" sqref="F4:F303" xr:uid="{00000000-0002-0000-0300-000001000000}">
      <formula1>INDIRECT("Setup!$L$4:$L$11")</formula1>
    </dataValidation>
    <dataValidation type="list" sqref="G4:G303" xr:uid="{00000000-0002-0000-0300-000002000000}">
      <formula1>INDIRECT("Setup!$P$4:$P$6")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workbookViewId="0">
      <selection activeCell="B31" sqref="B31"/>
    </sheetView>
  </sheetViews>
  <sheetFormatPr defaultRowHeight="14.25"/>
  <cols>
    <col min="1" max="1" width="20" customWidth="1"/>
    <col min="2" max="2" width="44" customWidth="1"/>
    <col min="3" max="3" width="20" customWidth="1"/>
    <col min="4" max="4" width="15" customWidth="1"/>
    <col min="5" max="5" width="18" customWidth="1"/>
    <col min="6" max="6" width="16" customWidth="1"/>
    <col min="7" max="7" width="12" customWidth="1"/>
    <col min="8" max="8" width="42" customWidth="1"/>
  </cols>
  <sheetData>
    <row r="1" spans="1:8" ht="15">
      <c r="A1" s="2" t="s">
        <v>67</v>
      </c>
      <c r="B1" s="2" t="s">
        <v>68</v>
      </c>
      <c r="C1" s="2" t="s">
        <v>4</v>
      </c>
      <c r="D1" s="2" t="s">
        <v>69</v>
      </c>
      <c r="E1" s="2" t="s">
        <v>70</v>
      </c>
      <c r="F1" s="2" t="s">
        <v>7</v>
      </c>
      <c r="G1" s="2" t="s">
        <v>8</v>
      </c>
      <c r="H1" s="2" t="s">
        <v>42</v>
      </c>
    </row>
    <row r="2" spans="1:8">
      <c r="A2" t="s">
        <v>71</v>
      </c>
      <c r="B2" t="s">
        <v>72</v>
      </c>
      <c r="C2" t="s">
        <v>73</v>
      </c>
      <c r="D2" s="1">
        <v>45992</v>
      </c>
      <c r="E2" s="1">
        <f ca="1">TODAY()</f>
        <v>46302</v>
      </c>
      <c r="F2" s="1">
        <f ca="1">TODAY()+1</f>
        <v>46303</v>
      </c>
      <c r="G2" t="s">
        <v>74</v>
      </c>
    </row>
    <row r="3" spans="1:8">
      <c r="A3" t="s">
        <v>75</v>
      </c>
      <c r="B3" t="s">
        <v>76</v>
      </c>
      <c r="C3" t="s">
        <v>77</v>
      </c>
      <c r="D3" s="1">
        <v>46013</v>
      </c>
      <c r="E3" s="1">
        <f ca="1">TODAY()</f>
        <v>46302</v>
      </c>
      <c r="F3" s="1">
        <f ca="1">TODAY()+1</f>
        <v>46303</v>
      </c>
      <c r="G3" t="s">
        <v>74</v>
      </c>
    </row>
    <row r="4" spans="1:8">
      <c r="A4" t="s">
        <v>78</v>
      </c>
      <c r="B4" t="s">
        <v>79</v>
      </c>
      <c r="C4" t="s">
        <v>177</v>
      </c>
      <c r="D4" s="1">
        <v>46037</v>
      </c>
      <c r="E4" s="1">
        <v>46181</v>
      </c>
      <c r="F4" s="1">
        <f>EDATE(E4,4)</f>
        <v>46303</v>
      </c>
      <c r="G4" t="s">
        <v>74</v>
      </c>
      <c r="H4" t="s">
        <v>81</v>
      </c>
    </row>
    <row r="5" spans="1:8">
      <c r="A5" t="s">
        <v>82</v>
      </c>
      <c r="B5" t="s">
        <v>189</v>
      </c>
      <c r="C5" t="s">
        <v>77</v>
      </c>
      <c r="D5" s="1">
        <v>46023</v>
      </c>
      <c r="E5" s="1">
        <v>46180</v>
      </c>
      <c r="F5" s="1"/>
      <c r="G5" t="s">
        <v>108</v>
      </c>
    </row>
    <row r="6" spans="1:8">
      <c r="A6" t="s">
        <v>84</v>
      </c>
      <c r="B6" t="s">
        <v>85</v>
      </c>
      <c r="C6" t="s">
        <v>86</v>
      </c>
      <c r="D6" s="1">
        <v>44531</v>
      </c>
      <c r="E6" s="1">
        <v>46296</v>
      </c>
      <c r="F6" s="1">
        <f>EDATE(E6,1)</f>
        <v>46327</v>
      </c>
      <c r="G6" t="s">
        <v>74</v>
      </c>
      <c r="H6" t="s">
        <v>87</v>
      </c>
    </row>
    <row r="7" spans="1:8">
      <c r="A7" t="s">
        <v>61</v>
      </c>
      <c r="B7" t="s">
        <v>62</v>
      </c>
      <c r="C7" t="s">
        <v>88</v>
      </c>
      <c r="D7" s="1">
        <v>45511</v>
      </c>
      <c r="E7" s="1">
        <v>46291</v>
      </c>
      <c r="F7" s="1">
        <v>46319</v>
      </c>
      <c r="G7" t="s">
        <v>74</v>
      </c>
      <c r="H7" t="s">
        <v>89</v>
      </c>
    </row>
    <row r="8" spans="1:8">
      <c r="A8" t="s">
        <v>82</v>
      </c>
      <c r="B8" t="s">
        <v>83</v>
      </c>
      <c r="C8" t="s">
        <v>77</v>
      </c>
      <c r="D8" s="1">
        <v>46181</v>
      </c>
      <c r="E8" s="1">
        <f ca="1">TODAY()</f>
        <v>46302</v>
      </c>
      <c r="F8" s="1">
        <f>EDATE(E4,4)</f>
        <v>46303</v>
      </c>
      <c r="G8" t="s">
        <v>74</v>
      </c>
    </row>
    <row r="9" spans="1:8">
      <c r="A9" t="s">
        <v>187</v>
      </c>
      <c r="B9" t="s">
        <v>188</v>
      </c>
      <c r="C9" t="s">
        <v>77</v>
      </c>
      <c r="D9" s="1">
        <v>46181</v>
      </c>
      <c r="E9" s="1">
        <f ca="1">TODAY()</f>
        <v>46302</v>
      </c>
      <c r="F9" s="1">
        <f>EDATE(E5,4)</f>
        <v>46302</v>
      </c>
      <c r="G9" t="s">
        <v>74</v>
      </c>
    </row>
    <row r="10" spans="1:8">
      <c r="D10" s="1"/>
      <c r="E10" s="1"/>
      <c r="F10" s="1"/>
    </row>
    <row r="11" spans="1:8">
      <c r="D11" s="1"/>
      <c r="E11" s="1"/>
      <c r="F11" s="1"/>
    </row>
    <row r="12" spans="1:8">
      <c r="D12" s="1"/>
      <c r="E12" s="1"/>
      <c r="F12" s="1"/>
    </row>
    <row r="13" spans="1:8">
      <c r="D13" s="1"/>
      <c r="E13" s="1"/>
      <c r="F13" s="1"/>
    </row>
    <row r="14" spans="1:8">
      <c r="D14" s="1"/>
      <c r="E14" s="1"/>
      <c r="F14" s="1"/>
    </row>
    <row r="15" spans="1:8">
      <c r="D15" s="1"/>
      <c r="E15" s="1"/>
      <c r="F15" s="1"/>
    </row>
    <row r="16" spans="1:8">
      <c r="D16" s="1"/>
      <c r="E16" s="1"/>
      <c r="F16" s="1"/>
    </row>
    <row r="17" spans="4:6">
      <c r="D17" s="1"/>
      <c r="E17" s="1"/>
      <c r="F17" s="1"/>
    </row>
    <row r="18" spans="4:6">
      <c r="D18" s="1"/>
      <c r="E18" s="1"/>
      <c r="F18" s="1"/>
    </row>
    <row r="19" spans="4:6">
      <c r="D19" s="1"/>
      <c r="E19" s="1"/>
      <c r="F19" s="1"/>
    </row>
    <row r="20" spans="4:6">
      <c r="D20" s="1"/>
      <c r="E20" s="1"/>
      <c r="F20" s="1"/>
    </row>
    <row r="21" spans="4:6">
      <c r="D21" s="1"/>
      <c r="E21" s="1"/>
      <c r="F21" s="1"/>
    </row>
    <row r="22" spans="4:6">
      <c r="D22" s="1"/>
      <c r="E22" s="1"/>
      <c r="F22" s="1"/>
    </row>
    <row r="23" spans="4:6">
      <c r="D23" s="1"/>
      <c r="E23" s="1"/>
      <c r="F23" s="1"/>
    </row>
    <row r="24" spans="4:6">
      <c r="D24" s="1"/>
      <c r="E24" s="1"/>
      <c r="F24" s="1"/>
    </row>
    <row r="25" spans="4:6">
      <c r="D25" s="1"/>
      <c r="E25" s="1"/>
      <c r="F25" s="1"/>
    </row>
    <row r="26" spans="4:6">
      <c r="D26" s="1"/>
      <c r="E26" s="1"/>
      <c r="F26" s="1"/>
    </row>
    <row r="27" spans="4:6">
      <c r="D27" s="1"/>
      <c r="E27" s="1"/>
      <c r="F27" s="1"/>
    </row>
    <row r="28" spans="4:6">
      <c r="D28" s="1"/>
      <c r="E28" s="1"/>
      <c r="F28" s="1"/>
    </row>
    <row r="29" spans="4:6">
      <c r="D29" s="1"/>
      <c r="E29" s="1"/>
      <c r="F29" s="1"/>
    </row>
    <row r="30" spans="4:6">
      <c r="D30" s="1"/>
      <c r="E30" s="1"/>
      <c r="F30" s="1"/>
    </row>
    <row r="31" spans="4:6">
      <c r="D31" s="1"/>
      <c r="E31" s="1"/>
      <c r="F31" s="1"/>
    </row>
    <row r="32" spans="4:6">
      <c r="D32" s="1"/>
      <c r="E32" s="1"/>
      <c r="F32" s="1"/>
    </row>
    <row r="33" spans="4:6">
      <c r="D33" s="1"/>
      <c r="E33" s="1"/>
      <c r="F33" s="1"/>
    </row>
    <row r="34" spans="4:6">
      <c r="D34" s="1"/>
      <c r="E34" s="1"/>
      <c r="F34" s="1"/>
    </row>
    <row r="35" spans="4:6">
      <c r="D35" s="1"/>
      <c r="E35" s="1"/>
      <c r="F35" s="1"/>
    </row>
    <row r="36" spans="4:6">
      <c r="D36" s="1"/>
      <c r="E36" s="1"/>
      <c r="F36" s="1"/>
    </row>
    <row r="37" spans="4:6">
      <c r="D37" s="1"/>
      <c r="E37" s="1"/>
      <c r="F37" s="1"/>
    </row>
    <row r="38" spans="4:6">
      <c r="D38" s="1"/>
      <c r="E38" s="1"/>
      <c r="F38" s="1"/>
    </row>
    <row r="39" spans="4:6">
      <c r="D39" s="1"/>
      <c r="E39" s="1"/>
      <c r="F39" s="1"/>
    </row>
    <row r="40" spans="4:6">
      <c r="D40" s="1"/>
      <c r="E40" s="1"/>
      <c r="F40" s="1"/>
    </row>
    <row r="41" spans="4:6">
      <c r="D41" s="1"/>
      <c r="E41" s="1"/>
      <c r="F41" s="1"/>
    </row>
    <row r="42" spans="4:6">
      <c r="D42" s="1"/>
      <c r="E42" s="1"/>
      <c r="F42" s="1"/>
    </row>
    <row r="43" spans="4:6">
      <c r="D43" s="1"/>
      <c r="E43" s="1"/>
      <c r="F43" s="1"/>
    </row>
    <row r="44" spans="4:6">
      <c r="D44" s="1"/>
      <c r="E44" s="1"/>
      <c r="F44" s="1"/>
    </row>
    <row r="45" spans="4:6">
      <c r="D45" s="1"/>
      <c r="E45" s="1"/>
      <c r="F45" s="1"/>
    </row>
    <row r="46" spans="4:6">
      <c r="D46" s="1"/>
      <c r="E46" s="1"/>
      <c r="F46" s="1"/>
    </row>
    <row r="47" spans="4:6">
      <c r="D47" s="1"/>
      <c r="E47" s="1"/>
      <c r="F47" s="1"/>
    </row>
    <row r="48" spans="4:6">
      <c r="D48" s="1"/>
      <c r="E48" s="1"/>
      <c r="F48" s="1"/>
    </row>
    <row r="49" spans="4:6">
      <c r="D49" s="1"/>
      <c r="E49" s="1"/>
      <c r="F49" s="1"/>
    </row>
    <row r="50" spans="4:6">
      <c r="D50" s="1"/>
      <c r="E50" s="1"/>
      <c r="F50" s="1"/>
    </row>
    <row r="51" spans="4:6">
      <c r="D51" s="1"/>
      <c r="E51" s="1"/>
      <c r="F51" s="1"/>
    </row>
    <row r="52" spans="4:6">
      <c r="D52" s="1"/>
      <c r="E52" s="1"/>
      <c r="F52" s="1"/>
    </row>
    <row r="53" spans="4:6">
      <c r="D53" s="1"/>
      <c r="E53" s="1"/>
      <c r="F53" s="1"/>
    </row>
    <row r="54" spans="4:6">
      <c r="D54" s="1"/>
      <c r="E54" s="1"/>
      <c r="F54" s="1"/>
    </row>
    <row r="55" spans="4:6">
      <c r="D55" s="1"/>
      <c r="E55" s="1"/>
      <c r="F55" s="1"/>
    </row>
    <row r="56" spans="4:6">
      <c r="D56" s="1"/>
      <c r="E56" s="1"/>
      <c r="F56" s="1"/>
    </row>
    <row r="57" spans="4:6">
      <c r="D57" s="1"/>
      <c r="E57" s="1"/>
      <c r="F57" s="1"/>
    </row>
    <row r="58" spans="4:6">
      <c r="D58" s="1"/>
      <c r="E58" s="1"/>
      <c r="F58" s="1"/>
    </row>
    <row r="59" spans="4:6">
      <c r="D59" s="1"/>
      <c r="E59" s="1"/>
      <c r="F59" s="1"/>
    </row>
    <row r="60" spans="4:6">
      <c r="D60" s="1"/>
      <c r="E60" s="1"/>
      <c r="F60" s="1"/>
    </row>
    <row r="61" spans="4:6">
      <c r="D61" s="1"/>
      <c r="E61" s="1"/>
      <c r="F61" s="1"/>
    </row>
    <row r="62" spans="4:6">
      <c r="D62" s="1"/>
      <c r="E62" s="1"/>
      <c r="F62" s="1"/>
    </row>
    <row r="63" spans="4:6">
      <c r="D63" s="1"/>
      <c r="E63" s="1"/>
      <c r="F63" s="1"/>
    </row>
    <row r="64" spans="4:6">
      <c r="D64" s="1"/>
      <c r="E64" s="1"/>
      <c r="F64" s="1"/>
    </row>
    <row r="65" spans="4:6">
      <c r="D65" s="1"/>
      <c r="E65" s="1"/>
      <c r="F65" s="1"/>
    </row>
    <row r="66" spans="4:6">
      <c r="D66" s="1"/>
      <c r="E66" s="1"/>
      <c r="F66" s="1"/>
    </row>
    <row r="67" spans="4:6">
      <c r="D67" s="1"/>
      <c r="E67" s="1"/>
      <c r="F67" s="1"/>
    </row>
    <row r="68" spans="4:6">
      <c r="D68" s="1"/>
      <c r="E68" s="1"/>
      <c r="F68" s="1"/>
    </row>
    <row r="69" spans="4:6">
      <c r="D69" s="1"/>
      <c r="E69" s="1"/>
      <c r="F69" s="1"/>
    </row>
    <row r="70" spans="4:6">
      <c r="D70" s="1"/>
      <c r="E70" s="1"/>
      <c r="F70" s="1"/>
    </row>
    <row r="71" spans="4:6">
      <c r="D71" s="1"/>
      <c r="E71" s="1"/>
      <c r="F71" s="1"/>
    </row>
    <row r="72" spans="4:6">
      <c r="D72" s="1"/>
      <c r="E72" s="1"/>
      <c r="F72" s="1"/>
    </row>
    <row r="73" spans="4:6">
      <c r="D73" s="1"/>
      <c r="E73" s="1"/>
      <c r="F73" s="1"/>
    </row>
    <row r="74" spans="4:6">
      <c r="D74" s="1"/>
      <c r="E74" s="1"/>
      <c r="F74" s="1"/>
    </row>
    <row r="75" spans="4:6">
      <c r="D75" s="1"/>
      <c r="E75" s="1"/>
      <c r="F75" s="1"/>
    </row>
    <row r="76" spans="4:6">
      <c r="D76" s="1"/>
      <c r="E76" s="1"/>
      <c r="F76" s="1"/>
    </row>
    <row r="77" spans="4:6">
      <c r="D77" s="1"/>
      <c r="E77" s="1"/>
      <c r="F77" s="1"/>
    </row>
    <row r="78" spans="4:6">
      <c r="D78" s="1"/>
      <c r="E78" s="1"/>
      <c r="F78" s="1"/>
    </row>
    <row r="79" spans="4:6">
      <c r="D79" s="1"/>
      <c r="E79" s="1"/>
      <c r="F79" s="1"/>
    </row>
    <row r="80" spans="4:6">
      <c r="D80" s="1"/>
      <c r="E80" s="1"/>
      <c r="F80" s="1"/>
    </row>
    <row r="81" spans="4:6">
      <c r="D81" s="1"/>
      <c r="E81" s="1"/>
      <c r="F81" s="1"/>
    </row>
    <row r="82" spans="4:6">
      <c r="D82" s="1"/>
      <c r="E82" s="1"/>
      <c r="F82" s="1"/>
    </row>
    <row r="83" spans="4:6">
      <c r="D83" s="1"/>
      <c r="E83" s="1"/>
      <c r="F83" s="1"/>
    </row>
    <row r="84" spans="4:6">
      <c r="D84" s="1"/>
      <c r="E84" s="1"/>
      <c r="F84" s="1"/>
    </row>
    <row r="85" spans="4:6">
      <c r="D85" s="1"/>
      <c r="E85" s="1"/>
      <c r="F85" s="1"/>
    </row>
    <row r="86" spans="4:6">
      <c r="D86" s="1"/>
      <c r="E86" s="1"/>
      <c r="F86" s="1"/>
    </row>
    <row r="87" spans="4:6">
      <c r="D87" s="1"/>
      <c r="E87" s="1"/>
      <c r="F87" s="1"/>
    </row>
    <row r="88" spans="4:6">
      <c r="D88" s="1"/>
      <c r="E88" s="1"/>
      <c r="F88" s="1"/>
    </row>
    <row r="89" spans="4:6">
      <c r="D89" s="1"/>
      <c r="E89" s="1"/>
      <c r="F89" s="1"/>
    </row>
    <row r="90" spans="4:6">
      <c r="D90" s="1"/>
      <c r="E90" s="1"/>
      <c r="F90" s="1"/>
    </row>
    <row r="91" spans="4:6">
      <c r="D91" s="1"/>
      <c r="E91" s="1"/>
      <c r="F91" s="1"/>
    </row>
    <row r="92" spans="4:6">
      <c r="D92" s="1"/>
      <c r="E92" s="1"/>
      <c r="F92" s="1"/>
    </row>
    <row r="93" spans="4:6">
      <c r="D93" s="1"/>
      <c r="E93" s="1"/>
      <c r="F93" s="1"/>
    </row>
    <row r="94" spans="4:6">
      <c r="D94" s="1"/>
      <c r="E94" s="1"/>
      <c r="F94" s="1"/>
    </row>
    <row r="95" spans="4:6">
      <c r="D95" s="1"/>
      <c r="E95" s="1"/>
      <c r="F95" s="1"/>
    </row>
    <row r="96" spans="4:6">
      <c r="D96" s="1"/>
      <c r="E96" s="1"/>
      <c r="F96" s="1"/>
    </row>
    <row r="97" spans="4:6">
      <c r="D97" s="1"/>
      <c r="E97" s="1"/>
      <c r="F97" s="1"/>
    </row>
    <row r="98" spans="4:6">
      <c r="D98" s="1"/>
      <c r="E98" s="1"/>
      <c r="F98" s="1"/>
    </row>
    <row r="99" spans="4:6">
      <c r="D99" s="1"/>
      <c r="E99" s="1"/>
      <c r="F99" s="1"/>
    </row>
    <row r="100" spans="4:6">
      <c r="D100" s="1"/>
      <c r="E100" s="1"/>
      <c r="F100" s="1"/>
    </row>
  </sheetData>
  <dataValidations count="2">
    <dataValidation type="list" sqref="C2:C100" xr:uid="{00000000-0002-0000-0400-000000000000}">
      <formula1>INDIRECT("Setup!$J$4:$J$15")</formula1>
    </dataValidation>
    <dataValidation type="list" sqref="G2:G100" xr:uid="{00000000-0002-0000-0400-000001000000}">
      <formula1>INDIRECT("Setup!$N$4:$N$9")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"/>
  <sheetViews>
    <sheetView workbookViewId="0">
      <selection sqref="A1:P1"/>
    </sheetView>
  </sheetViews>
  <sheetFormatPr defaultRowHeight="14.25"/>
  <cols>
    <col min="1" max="2" width="25" customWidth="1"/>
    <col min="3" max="3" width="31" customWidth="1"/>
    <col min="4" max="4" width="23" customWidth="1"/>
    <col min="6" max="6" width="25" customWidth="1"/>
    <col min="8" max="8" width="23" customWidth="1"/>
    <col min="10" max="10" width="22" customWidth="1"/>
    <col min="12" max="12" width="25" customWidth="1"/>
    <col min="14" max="14" width="15" customWidth="1"/>
    <col min="16" max="16" width="15" customWidth="1"/>
  </cols>
  <sheetData>
    <row r="1" spans="1:16" ht="20.25">
      <c r="A1" s="13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">
      <c r="A3" s="2" t="s">
        <v>91</v>
      </c>
      <c r="B3" s="2" t="s">
        <v>92</v>
      </c>
      <c r="C3" s="3"/>
      <c r="D3" s="2" t="s">
        <v>93</v>
      </c>
      <c r="E3" s="3"/>
      <c r="F3" s="2" t="s">
        <v>94</v>
      </c>
      <c r="G3" s="3"/>
      <c r="H3" s="2" t="s">
        <v>41</v>
      </c>
      <c r="I3" s="3"/>
      <c r="J3" s="2" t="s">
        <v>4</v>
      </c>
      <c r="K3" s="3"/>
      <c r="L3" s="2" t="s">
        <v>57</v>
      </c>
      <c r="M3" s="3"/>
      <c r="N3" s="2" t="s">
        <v>8</v>
      </c>
      <c r="O3" s="3"/>
      <c r="P3" s="2" t="s">
        <v>95</v>
      </c>
    </row>
    <row r="4" spans="1:16">
      <c r="A4" s="3" t="s">
        <v>96</v>
      </c>
      <c r="B4" s="3" t="s">
        <v>97</v>
      </c>
      <c r="C4" s="3"/>
      <c r="D4" s="3" t="s">
        <v>98</v>
      </c>
      <c r="E4" s="3"/>
      <c r="F4" s="3" t="s">
        <v>99</v>
      </c>
      <c r="G4" s="3"/>
      <c r="H4" s="3" t="s">
        <v>99</v>
      </c>
      <c r="I4" s="3"/>
      <c r="J4" s="3" t="s">
        <v>77</v>
      </c>
      <c r="K4" s="3"/>
      <c r="L4" s="3" t="s">
        <v>100</v>
      </c>
      <c r="M4" s="3"/>
      <c r="N4" s="3" t="s">
        <v>74</v>
      </c>
      <c r="O4" s="3"/>
      <c r="P4" s="3" t="s">
        <v>101</v>
      </c>
    </row>
    <row r="5" spans="1:16">
      <c r="A5" s="3" t="s">
        <v>102</v>
      </c>
      <c r="B5" s="3" t="s">
        <v>103</v>
      </c>
      <c r="C5" s="3"/>
      <c r="D5" s="3" t="s">
        <v>104</v>
      </c>
      <c r="E5" s="3"/>
      <c r="F5" s="3" t="s">
        <v>105</v>
      </c>
      <c r="G5" s="3"/>
      <c r="H5" s="3" t="s">
        <v>106</v>
      </c>
      <c r="I5" s="3"/>
      <c r="J5" s="3" t="s">
        <v>107</v>
      </c>
      <c r="K5" s="3"/>
      <c r="L5" s="3" t="s">
        <v>64</v>
      </c>
      <c r="M5" s="3"/>
      <c r="N5" s="3" t="s">
        <v>108</v>
      </c>
      <c r="O5" s="3"/>
      <c r="P5" s="3" t="s">
        <v>65</v>
      </c>
    </row>
    <row r="6" spans="1:16">
      <c r="A6" s="3" t="s">
        <v>109</v>
      </c>
      <c r="B6" s="3">
        <v>28</v>
      </c>
      <c r="C6" s="3"/>
      <c r="D6" s="3" t="s">
        <v>110</v>
      </c>
      <c r="E6" s="3"/>
      <c r="F6" s="3" t="s">
        <v>111</v>
      </c>
      <c r="G6" s="3"/>
      <c r="H6" s="3" t="s">
        <v>112</v>
      </c>
      <c r="I6" s="3"/>
      <c r="J6" s="3" t="s">
        <v>113</v>
      </c>
      <c r="K6" s="3"/>
      <c r="L6" s="3" t="s">
        <v>114</v>
      </c>
      <c r="M6" s="3"/>
      <c r="N6" s="3" t="s">
        <v>115</v>
      </c>
      <c r="O6" s="3"/>
      <c r="P6" s="3" t="s">
        <v>116</v>
      </c>
    </row>
    <row r="7" spans="1:16">
      <c r="A7" s="3" t="s">
        <v>117</v>
      </c>
      <c r="B7" s="4">
        <v>46291</v>
      </c>
      <c r="C7" s="3"/>
      <c r="D7" s="3" t="s">
        <v>118</v>
      </c>
      <c r="E7" s="3"/>
      <c r="F7" s="3" t="s">
        <v>119</v>
      </c>
      <c r="G7" s="3"/>
      <c r="H7" s="3" t="s">
        <v>111</v>
      </c>
      <c r="I7" s="3"/>
      <c r="J7" s="3" t="s">
        <v>88</v>
      </c>
      <c r="K7" s="3"/>
      <c r="L7" s="3" t="s">
        <v>120</v>
      </c>
      <c r="M7" s="3"/>
      <c r="N7" s="3" t="s">
        <v>63</v>
      </c>
      <c r="O7" s="3"/>
      <c r="P7" s="3"/>
    </row>
    <row r="8" spans="1:16">
      <c r="A8" s="3" t="s">
        <v>121</v>
      </c>
      <c r="B8" s="4">
        <f>B7+B6</f>
        <v>46319</v>
      </c>
      <c r="C8" s="3"/>
      <c r="D8" s="3" t="s">
        <v>122</v>
      </c>
      <c r="E8" s="3"/>
      <c r="F8" s="3" t="s">
        <v>123</v>
      </c>
      <c r="G8" s="3"/>
      <c r="H8" s="3" t="s">
        <v>124</v>
      </c>
      <c r="I8" s="3"/>
      <c r="J8" s="3" t="s">
        <v>125</v>
      </c>
      <c r="K8" s="3"/>
      <c r="L8" s="3" t="s">
        <v>126</v>
      </c>
      <c r="M8" s="3"/>
      <c r="N8" s="3" t="s">
        <v>127</v>
      </c>
      <c r="O8" s="3"/>
      <c r="P8" s="3"/>
    </row>
    <row r="9" spans="1:16">
      <c r="A9" s="3" t="s">
        <v>128</v>
      </c>
      <c r="B9" s="3">
        <v>90</v>
      </c>
      <c r="C9" s="3"/>
      <c r="D9" s="3" t="s">
        <v>129</v>
      </c>
      <c r="E9" s="3"/>
      <c r="F9" s="3" t="s">
        <v>61</v>
      </c>
      <c r="G9" s="3"/>
      <c r="H9" s="3" t="s">
        <v>130</v>
      </c>
      <c r="I9" s="3"/>
      <c r="J9" s="3" t="s">
        <v>131</v>
      </c>
      <c r="K9" s="3"/>
      <c r="L9" s="3" t="s">
        <v>132</v>
      </c>
      <c r="M9" s="3"/>
      <c r="N9" s="3" t="s">
        <v>133</v>
      </c>
      <c r="O9" s="3"/>
      <c r="P9" s="3"/>
    </row>
    <row r="10" spans="1:16">
      <c r="A10" s="3"/>
      <c r="B10" s="3"/>
      <c r="C10" s="3"/>
      <c r="D10" s="3" t="s">
        <v>134</v>
      </c>
      <c r="E10" s="3"/>
      <c r="F10" s="3" t="s">
        <v>135</v>
      </c>
      <c r="G10" s="3"/>
      <c r="H10" s="3" t="s">
        <v>136</v>
      </c>
      <c r="I10" s="3"/>
      <c r="J10" s="3" t="s">
        <v>80</v>
      </c>
      <c r="K10" s="3"/>
      <c r="L10" s="3" t="s">
        <v>137</v>
      </c>
      <c r="M10" s="3"/>
      <c r="N10" s="3"/>
      <c r="O10" s="3"/>
      <c r="P10" s="3"/>
    </row>
    <row r="11" spans="1:16">
      <c r="A11" s="3"/>
      <c r="B11" s="3"/>
      <c r="C11" s="3"/>
      <c r="D11" s="3" t="s">
        <v>61</v>
      </c>
      <c r="E11" s="3"/>
      <c r="F11" s="3" t="s">
        <v>138</v>
      </c>
      <c r="G11" s="3"/>
      <c r="H11" s="3" t="s">
        <v>139</v>
      </c>
      <c r="I11" s="3"/>
      <c r="J11" s="3" t="s">
        <v>140</v>
      </c>
      <c r="K11" s="3"/>
      <c r="L11" s="3" t="s">
        <v>141</v>
      </c>
      <c r="M11" s="3"/>
      <c r="N11" s="3"/>
      <c r="O11" s="3"/>
      <c r="P11" s="3"/>
    </row>
    <row r="12" spans="1:16">
      <c r="A12" s="3"/>
      <c r="B12" s="3"/>
      <c r="C12" s="3"/>
      <c r="D12" s="3" t="s">
        <v>85</v>
      </c>
      <c r="E12" s="3"/>
      <c r="F12" s="3" t="s">
        <v>142</v>
      </c>
      <c r="G12" s="3"/>
      <c r="H12" s="3" t="s">
        <v>141</v>
      </c>
      <c r="I12" s="3"/>
      <c r="J12" s="3" t="s">
        <v>86</v>
      </c>
      <c r="K12" s="3"/>
      <c r="L12" s="3"/>
      <c r="M12" s="3"/>
      <c r="N12" s="3"/>
      <c r="O12" s="3"/>
      <c r="P12" s="3"/>
    </row>
    <row r="13" spans="1:16" ht="15">
      <c r="A13" s="2" t="s">
        <v>143</v>
      </c>
      <c r="B13" s="2" t="s">
        <v>144</v>
      </c>
      <c r="C13" s="2" t="s">
        <v>145</v>
      </c>
      <c r="D13" s="3" t="s">
        <v>135</v>
      </c>
      <c r="E13" s="3"/>
      <c r="F13" s="3" t="s">
        <v>141</v>
      </c>
      <c r="G13" s="3"/>
      <c r="H13" s="3"/>
      <c r="I13" s="3"/>
      <c r="J13" s="3" t="s">
        <v>146</v>
      </c>
      <c r="K13" s="3"/>
      <c r="L13" s="3"/>
      <c r="M13" s="3"/>
      <c r="N13" s="3"/>
      <c r="O13" s="3"/>
      <c r="P13" s="3"/>
    </row>
    <row r="14" spans="1:16">
      <c r="A14" s="3">
        <v>0</v>
      </c>
      <c r="B14" s="3" t="s">
        <v>99</v>
      </c>
      <c r="C14" s="3" t="s">
        <v>147</v>
      </c>
      <c r="D14" s="3" t="s">
        <v>141</v>
      </c>
      <c r="E14" s="3"/>
      <c r="F14" s="3"/>
      <c r="G14" s="3"/>
      <c r="H14" s="3"/>
      <c r="I14" s="3"/>
      <c r="J14" s="3" t="s">
        <v>73</v>
      </c>
      <c r="K14" s="3"/>
      <c r="L14" s="3"/>
      <c r="M14" s="3"/>
      <c r="N14" s="3"/>
      <c r="O14" s="3"/>
      <c r="P14" s="3"/>
    </row>
    <row r="15" spans="1:16">
      <c r="A15" s="3">
        <v>1</v>
      </c>
      <c r="B15" s="3" t="s">
        <v>148</v>
      </c>
      <c r="C15" s="3" t="s">
        <v>149</v>
      </c>
      <c r="D15" s="3"/>
      <c r="E15" s="3"/>
      <c r="F15" s="3"/>
      <c r="G15" s="3"/>
      <c r="H15" s="3"/>
      <c r="I15" s="3"/>
      <c r="J15" s="3" t="s">
        <v>141</v>
      </c>
      <c r="K15" s="3"/>
      <c r="L15" s="3"/>
      <c r="M15" s="3"/>
      <c r="N15" s="3"/>
      <c r="O15" s="3"/>
      <c r="P15" s="3"/>
    </row>
    <row r="16" spans="1:16">
      <c r="A16" s="3">
        <v>2</v>
      </c>
      <c r="B16" s="3" t="s">
        <v>150</v>
      </c>
      <c r="C16" s="3" t="s">
        <v>151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>
        <v>3</v>
      </c>
      <c r="B17" s="3" t="s">
        <v>152</v>
      </c>
      <c r="C17" s="3" t="s">
        <v>153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>
        <v>4</v>
      </c>
      <c r="B18" s="3" t="s">
        <v>154</v>
      </c>
      <c r="C18" s="3" t="s">
        <v>155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>
        <v>5</v>
      </c>
      <c r="B19" s="3" t="s">
        <v>156</v>
      </c>
      <c r="C19" s="3" t="s">
        <v>157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28.5">
      <c r="A20" s="3" t="s">
        <v>158</v>
      </c>
      <c r="B20" s="3" t="s">
        <v>159</v>
      </c>
      <c r="C20" s="3" t="s">
        <v>160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">
      <c r="A23" s="2" t="s">
        <v>161</v>
      </c>
      <c r="B23" s="2" t="s">
        <v>144</v>
      </c>
      <c r="C23" s="2" t="s">
        <v>145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>
        <v>0</v>
      </c>
      <c r="B24" s="3" t="s">
        <v>162</v>
      </c>
      <c r="C24" s="3" t="s">
        <v>163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>
        <v>1</v>
      </c>
      <c r="B25" s="3" t="s">
        <v>164</v>
      </c>
      <c r="C25" s="3" t="s">
        <v>165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>
        <v>2</v>
      </c>
      <c r="B26" s="3" t="s">
        <v>166</v>
      </c>
      <c r="C26" s="3" t="s">
        <v>167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>
        <v>3</v>
      </c>
      <c r="B27" s="3" t="s">
        <v>168</v>
      </c>
      <c r="C27" s="3" t="s">
        <v>169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>
        <v>4</v>
      </c>
      <c r="B28" s="3" t="s">
        <v>170</v>
      </c>
      <c r="C28" s="3" t="s">
        <v>171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>
        <v>5</v>
      </c>
      <c r="B29" s="3" t="s">
        <v>172</v>
      </c>
      <c r="C29" s="3" t="s">
        <v>173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28.5">
      <c r="A30" s="3" t="s">
        <v>174</v>
      </c>
      <c r="B30" s="3" t="s">
        <v>175</v>
      </c>
      <c r="C30" s="3" t="s">
        <v>176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Vet Report</vt:lpstr>
      <vt:lpstr>Daily Check In</vt:lpstr>
      <vt:lpstr>Coat &amp; Skin</vt:lpstr>
      <vt:lpstr>Changes &amp; Events</vt:lpstr>
      <vt:lpstr>Treatment Plan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</dc:creator>
  <cp:lastModifiedBy>L. Anderson</cp:lastModifiedBy>
  <dcterms:created xsi:type="dcterms:W3CDTF">2026-09-29T21:42:28Z</dcterms:created>
  <dcterms:modified xsi:type="dcterms:W3CDTF">2026-10-07T18:05:00Z</dcterms:modified>
</cp:coreProperties>
</file>