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f0f1021ea601d6bb/Documents/"/>
    </mc:Choice>
  </mc:AlternateContent>
  <xr:revisionPtr revIDLastSave="7" documentId="8_{63227C50-CE48-4F75-A48F-7C09D7597E7D}" xr6:coauthVersionLast="47" xr6:coauthVersionMax="47" xr10:uidLastSave="{B81ED961-B97C-480F-8D36-A4E85776F024}"/>
  <bookViews>
    <workbookView xWindow="-120" yWindow="-120" windowWidth="29040" windowHeight="15720" xr2:uid="{00000000-000D-0000-FFFF-FFFF00000000}"/>
  </bookViews>
  <sheets>
    <sheet name="START HERE" sheetId="1" r:id="rId1"/>
    <sheet name="Job Applications" sheetId="2" r:id="rId2"/>
    <sheet name="Search Analytics" sheetId="3" r:id="rId3"/>
    <sheet name="Weekly Report" sheetId="4" r:id="rId4"/>
    <sheet name="Lists" sheetId="5" r:id="rId5"/>
  </sheets>
  <definedNames>
    <definedName name="ApplicationSourceOptions">ApplicationSource[Application Source]</definedName>
    <definedName name="FeedbackTypeOptions">FeedbackType[Feedback Type]</definedName>
    <definedName name="InterviewStageOptions">InterviewStage[Interview Stage]</definedName>
    <definedName name="JobStatusOptions">JobStatus[Application Status]</definedName>
    <definedName name="PositionCategoryOptions">PositionCategory[Role Category]</definedName>
    <definedName name="RecruiterContactOptions">RecruiterContact[Recruiter Contact]</definedName>
    <definedName name="ResumeActivityOptions">ResumeActivity[Resume Activity]</definedName>
    <definedName name="ResumeVersionOptions">ResumeVersion[Resume Version]</definedName>
    <definedName name="SalaryRangeOptions">SalaryRange[Salary Range]</definedName>
    <definedName name="WorkArrangementOptions">WorkArrangement[Work Arrangement / Location]</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4" l="1"/>
  <c r="H13" i="4"/>
  <c r="H14" i="4"/>
  <c r="H15" i="4"/>
  <c r="H18" i="4"/>
  <c r="H19" i="4"/>
  <c r="H20" i="4"/>
  <c r="H21" i="4"/>
  <c r="H22" i="4"/>
  <c r="H23" i="4"/>
  <c r="H24" i="4"/>
  <c r="H28" i="4"/>
  <c r="H29" i="4"/>
  <c r="H33" i="4"/>
  <c r="H34" i="4"/>
  <c r="H35" i="4"/>
  <c r="H37" i="4"/>
  <c r="H38" i="4"/>
  <c r="H39" i="4"/>
  <c r="H40" i="4"/>
  <c r="H41" i="4"/>
  <c r="H42" i="4"/>
  <c r="H43" i="4"/>
  <c r="H44" i="4"/>
  <c r="H6" i="4"/>
  <c r="T41" i="3"/>
  <c r="S41" i="3"/>
  <c r="R41" i="3"/>
  <c r="M41" i="3"/>
  <c r="K41" i="3"/>
  <c r="L41" i="3" s="1"/>
  <c r="A41" i="3"/>
  <c r="C41" i="3" s="1"/>
  <c r="R40" i="3"/>
  <c r="T40" i="3" s="1"/>
  <c r="K40" i="3"/>
  <c r="M40" i="3" s="1"/>
  <c r="A40" i="3"/>
  <c r="C40" i="3" s="1"/>
  <c r="T39" i="3"/>
  <c r="R39" i="3"/>
  <c r="S39" i="3" s="1"/>
  <c r="K39" i="3"/>
  <c r="M39" i="3" s="1"/>
  <c r="A39" i="3"/>
  <c r="C39" i="3" s="1"/>
  <c r="R38" i="3"/>
  <c r="T38" i="3" s="1"/>
  <c r="K38" i="3"/>
  <c r="M38" i="3" s="1"/>
  <c r="C38" i="3"/>
  <c r="A38" i="3"/>
  <c r="B38" i="3" s="1"/>
  <c r="R37" i="3"/>
  <c r="T37" i="3" s="1"/>
  <c r="K37" i="3"/>
  <c r="M37" i="3" s="1"/>
  <c r="A37" i="3"/>
  <c r="C37" i="3" s="1"/>
  <c r="R36" i="3"/>
  <c r="T36" i="3" s="1"/>
  <c r="M36" i="3"/>
  <c r="K36" i="3"/>
  <c r="L36" i="3" s="1"/>
  <c r="A36" i="3"/>
  <c r="C36" i="3" s="1"/>
  <c r="R35" i="3"/>
  <c r="T35" i="3" s="1"/>
  <c r="K35" i="3"/>
  <c r="M35" i="3" s="1"/>
  <c r="A35" i="3"/>
  <c r="C35" i="3" s="1"/>
  <c r="T34" i="3"/>
  <c r="R34" i="3"/>
  <c r="S34" i="3" s="1"/>
  <c r="K34" i="3"/>
  <c r="M34" i="3" s="1"/>
  <c r="A34" i="3"/>
  <c r="C34" i="3" s="1"/>
  <c r="R33" i="3"/>
  <c r="T33" i="3" s="1"/>
  <c r="K33" i="3"/>
  <c r="M33" i="3" s="1"/>
  <c r="A33" i="3"/>
  <c r="B33" i="3" s="1"/>
  <c r="R32" i="3"/>
  <c r="T32" i="3" s="1"/>
  <c r="K32" i="3"/>
  <c r="M32" i="3" s="1"/>
  <c r="A32" i="3"/>
  <c r="C32" i="3" s="1"/>
  <c r="T31" i="3"/>
  <c r="R31" i="3"/>
  <c r="S31" i="3" s="1"/>
  <c r="K31" i="3"/>
  <c r="L31" i="3" s="1"/>
  <c r="A31" i="3"/>
  <c r="C31" i="3" s="1"/>
  <c r="R30" i="3"/>
  <c r="T30" i="3" s="1"/>
  <c r="K30" i="3"/>
  <c r="M30" i="3" s="1"/>
  <c r="A30" i="3"/>
  <c r="C30" i="3" s="1"/>
  <c r="T29" i="3"/>
  <c r="R29" i="3"/>
  <c r="S29" i="3" s="1"/>
  <c r="K29" i="3"/>
  <c r="M29" i="3" s="1"/>
  <c r="A29" i="3"/>
  <c r="C29" i="3" s="1"/>
  <c r="T28" i="3"/>
  <c r="R28" i="3"/>
  <c r="S28" i="3" s="1"/>
  <c r="K28" i="3"/>
  <c r="M28" i="3" s="1"/>
  <c r="A28" i="3"/>
  <c r="B28" i="3" s="1"/>
  <c r="B16" i="3"/>
  <c r="K11" i="3"/>
  <c r="L11" i="3" s="1"/>
  <c r="Q5" i="3"/>
  <c r="B15" i="3" s="1"/>
  <c r="M5" i="3"/>
  <c r="B14" i="3" s="1"/>
  <c r="I5" i="3"/>
  <c r="B13" i="3" s="1"/>
  <c r="E5" i="3"/>
  <c r="B12" i="3" s="1"/>
  <c r="A5" i="3"/>
  <c r="B11" i="3" s="1"/>
  <c r="K1001" i="2"/>
  <c r="K1000" i="2"/>
  <c r="K999" i="2"/>
  <c r="K998" i="2"/>
  <c r="K997" i="2"/>
  <c r="K996" i="2"/>
  <c r="K995" i="2"/>
  <c r="K994" i="2"/>
  <c r="K993" i="2"/>
  <c r="K992" i="2"/>
  <c r="K991" i="2"/>
  <c r="K990" i="2"/>
  <c r="K989" i="2"/>
  <c r="K988" i="2"/>
  <c r="K987" i="2"/>
  <c r="K986" i="2"/>
  <c r="K985" i="2"/>
  <c r="K984" i="2"/>
  <c r="K983" i="2"/>
  <c r="K982" i="2"/>
  <c r="K981" i="2"/>
  <c r="K980" i="2"/>
  <c r="K979" i="2"/>
  <c r="K978" i="2"/>
  <c r="K977" i="2"/>
  <c r="K976" i="2"/>
  <c r="K975" i="2"/>
  <c r="K974" i="2"/>
  <c r="K973" i="2"/>
  <c r="K972" i="2"/>
  <c r="K971" i="2"/>
  <c r="K970" i="2"/>
  <c r="K969" i="2"/>
  <c r="K968" i="2"/>
  <c r="K967" i="2"/>
  <c r="K966" i="2"/>
  <c r="K965" i="2"/>
  <c r="K964" i="2"/>
  <c r="K963" i="2"/>
  <c r="K962" i="2"/>
  <c r="K961" i="2"/>
  <c r="K960" i="2"/>
  <c r="K959" i="2"/>
  <c r="K958" i="2"/>
  <c r="K957" i="2"/>
  <c r="K956" i="2"/>
  <c r="K955" i="2"/>
  <c r="K954" i="2"/>
  <c r="K953" i="2"/>
  <c r="K952" i="2"/>
  <c r="K951" i="2"/>
  <c r="K950" i="2"/>
  <c r="K949" i="2"/>
  <c r="K948" i="2"/>
  <c r="K947" i="2"/>
  <c r="K946" i="2"/>
  <c r="K945" i="2"/>
  <c r="K944" i="2"/>
  <c r="K943" i="2"/>
  <c r="K942" i="2"/>
  <c r="K941" i="2"/>
  <c r="K940" i="2"/>
  <c r="K939" i="2"/>
  <c r="K938" i="2"/>
  <c r="K937" i="2"/>
  <c r="K936" i="2"/>
  <c r="K935" i="2"/>
  <c r="K934" i="2"/>
  <c r="K933" i="2"/>
  <c r="K932" i="2"/>
  <c r="K931" i="2"/>
  <c r="K930" i="2"/>
  <c r="K929" i="2"/>
  <c r="K928" i="2"/>
  <c r="K927" i="2"/>
  <c r="K926" i="2"/>
  <c r="K925" i="2"/>
  <c r="K924" i="2"/>
  <c r="K923" i="2"/>
  <c r="K922" i="2"/>
  <c r="K921" i="2"/>
  <c r="K920" i="2"/>
  <c r="K919" i="2"/>
  <c r="K918" i="2"/>
  <c r="K917" i="2"/>
  <c r="K916" i="2"/>
  <c r="K915" i="2"/>
  <c r="K914" i="2"/>
  <c r="K913" i="2"/>
  <c r="K912" i="2"/>
  <c r="K911" i="2"/>
  <c r="K910" i="2"/>
  <c r="K909" i="2"/>
  <c r="K908" i="2"/>
  <c r="K907" i="2"/>
  <c r="K906" i="2"/>
  <c r="K905" i="2"/>
  <c r="K904" i="2"/>
  <c r="K903" i="2"/>
  <c r="K902" i="2"/>
  <c r="K901" i="2"/>
  <c r="K900" i="2"/>
  <c r="K899" i="2"/>
  <c r="K898" i="2"/>
  <c r="K897" i="2"/>
  <c r="K896" i="2"/>
  <c r="K895" i="2"/>
  <c r="K894" i="2"/>
  <c r="K893" i="2"/>
  <c r="K892" i="2"/>
  <c r="K891" i="2"/>
  <c r="K890" i="2"/>
  <c r="K889" i="2"/>
  <c r="K888" i="2"/>
  <c r="K887" i="2"/>
  <c r="K886" i="2"/>
  <c r="K885" i="2"/>
  <c r="K884" i="2"/>
  <c r="K883" i="2"/>
  <c r="K882" i="2"/>
  <c r="K881" i="2"/>
  <c r="K880" i="2"/>
  <c r="K879" i="2"/>
  <c r="K878" i="2"/>
  <c r="K877" i="2"/>
  <c r="K876" i="2"/>
  <c r="K875" i="2"/>
  <c r="K874" i="2"/>
  <c r="K873" i="2"/>
  <c r="K872" i="2"/>
  <c r="K871" i="2"/>
  <c r="K870" i="2"/>
  <c r="K869" i="2"/>
  <c r="K868" i="2"/>
  <c r="K867" i="2"/>
  <c r="K866" i="2"/>
  <c r="K865" i="2"/>
  <c r="K864" i="2"/>
  <c r="K863" i="2"/>
  <c r="K862" i="2"/>
  <c r="K861" i="2"/>
  <c r="K860" i="2"/>
  <c r="K859" i="2"/>
  <c r="K858" i="2"/>
  <c r="K857" i="2"/>
  <c r="K856" i="2"/>
  <c r="K855" i="2"/>
  <c r="K854" i="2"/>
  <c r="K853" i="2"/>
  <c r="K852" i="2"/>
  <c r="K851" i="2"/>
  <c r="K850" i="2"/>
  <c r="K849" i="2"/>
  <c r="K848" i="2"/>
  <c r="K847" i="2"/>
  <c r="K846" i="2"/>
  <c r="K845" i="2"/>
  <c r="K844" i="2"/>
  <c r="K843" i="2"/>
  <c r="K842" i="2"/>
  <c r="K841" i="2"/>
  <c r="K840" i="2"/>
  <c r="K839" i="2"/>
  <c r="K838" i="2"/>
  <c r="K837" i="2"/>
  <c r="K836" i="2"/>
  <c r="K835" i="2"/>
  <c r="K834" i="2"/>
  <c r="K833" i="2"/>
  <c r="K832" i="2"/>
  <c r="K831" i="2"/>
  <c r="K830" i="2"/>
  <c r="K829" i="2"/>
  <c r="K828" i="2"/>
  <c r="K827" i="2"/>
  <c r="K826" i="2"/>
  <c r="K825" i="2"/>
  <c r="K824" i="2"/>
  <c r="K823" i="2"/>
  <c r="K822" i="2"/>
  <c r="K821" i="2"/>
  <c r="K820" i="2"/>
  <c r="K819" i="2"/>
  <c r="K818" i="2"/>
  <c r="K817" i="2"/>
  <c r="K816" i="2"/>
  <c r="K815" i="2"/>
  <c r="K814" i="2"/>
  <c r="K813" i="2"/>
  <c r="K812" i="2"/>
  <c r="K811" i="2"/>
  <c r="K810" i="2"/>
  <c r="K809" i="2"/>
  <c r="K808" i="2"/>
  <c r="K807" i="2"/>
  <c r="K806" i="2"/>
  <c r="K805" i="2"/>
  <c r="K804" i="2"/>
  <c r="K803" i="2"/>
  <c r="K802" i="2"/>
  <c r="K801" i="2"/>
  <c r="K800" i="2"/>
  <c r="K799" i="2"/>
  <c r="K798" i="2"/>
  <c r="K797" i="2"/>
  <c r="K796" i="2"/>
  <c r="K795" i="2"/>
  <c r="K794" i="2"/>
  <c r="K793" i="2"/>
  <c r="K792" i="2"/>
  <c r="K791" i="2"/>
  <c r="K790" i="2"/>
  <c r="K789" i="2"/>
  <c r="K788" i="2"/>
  <c r="K787" i="2"/>
  <c r="K786" i="2"/>
  <c r="K785" i="2"/>
  <c r="K784" i="2"/>
  <c r="K783" i="2"/>
  <c r="K782" i="2"/>
  <c r="K781" i="2"/>
  <c r="K780" i="2"/>
  <c r="K779" i="2"/>
  <c r="K778" i="2"/>
  <c r="K777" i="2"/>
  <c r="K776" i="2"/>
  <c r="K775" i="2"/>
  <c r="K774" i="2"/>
  <c r="K773" i="2"/>
  <c r="K772" i="2"/>
  <c r="K771" i="2"/>
  <c r="K770" i="2"/>
  <c r="K769" i="2"/>
  <c r="K768" i="2"/>
  <c r="K767" i="2"/>
  <c r="K766" i="2"/>
  <c r="K765" i="2"/>
  <c r="K764" i="2"/>
  <c r="K763" i="2"/>
  <c r="K762" i="2"/>
  <c r="K761" i="2"/>
  <c r="K760" i="2"/>
  <c r="K759" i="2"/>
  <c r="K758" i="2"/>
  <c r="K757" i="2"/>
  <c r="K756" i="2"/>
  <c r="K755" i="2"/>
  <c r="K754" i="2"/>
  <c r="K753" i="2"/>
  <c r="K752" i="2"/>
  <c r="K751" i="2"/>
  <c r="K750" i="2"/>
  <c r="K749" i="2"/>
  <c r="K748" i="2"/>
  <c r="K747" i="2"/>
  <c r="K746" i="2"/>
  <c r="K745" i="2"/>
  <c r="K744" i="2"/>
  <c r="K743" i="2"/>
  <c r="K742" i="2"/>
  <c r="K741" i="2"/>
  <c r="K740" i="2"/>
  <c r="K739" i="2"/>
  <c r="K738" i="2"/>
  <c r="K737" i="2"/>
  <c r="K736" i="2"/>
  <c r="K735" i="2"/>
  <c r="K734" i="2"/>
  <c r="K733" i="2"/>
  <c r="K732" i="2"/>
  <c r="K731" i="2"/>
  <c r="K730" i="2"/>
  <c r="K729" i="2"/>
  <c r="K728" i="2"/>
  <c r="K727" i="2"/>
  <c r="K726" i="2"/>
  <c r="K725" i="2"/>
  <c r="K724" i="2"/>
  <c r="K723" i="2"/>
  <c r="K722" i="2"/>
  <c r="K721" i="2"/>
  <c r="K720" i="2"/>
  <c r="K719" i="2"/>
  <c r="K718" i="2"/>
  <c r="K717" i="2"/>
  <c r="K716" i="2"/>
  <c r="K715" i="2"/>
  <c r="K714" i="2"/>
  <c r="K713" i="2"/>
  <c r="K712" i="2"/>
  <c r="K711" i="2"/>
  <c r="K710" i="2"/>
  <c r="K709" i="2"/>
  <c r="K708" i="2"/>
  <c r="K707" i="2"/>
  <c r="K706" i="2"/>
  <c r="K705" i="2"/>
  <c r="K704" i="2"/>
  <c r="K703" i="2"/>
  <c r="K702" i="2"/>
  <c r="K701" i="2"/>
  <c r="K700" i="2"/>
  <c r="K699" i="2"/>
  <c r="K698" i="2"/>
  <c r="K697" i="2"/>
  <c r="K696" i="2"/>
  <c r="K695" i="2"/>
  <c r="K694" i="2"/>
  <c r="K693" i="2"/>
  <c r="K692" i="2"/>
  <c r="K691" i="2"/>
  <c r="K690" i="2"/>
  <c r="K689" i="2"/>
  <c r="K688" i="2"/>
  <c r="K687" i="2"/>
  <c r="K686" i="2"/>
  <c r="K685" i="2"/>
  <c r="K684" i="2"/>
  <c r="K683" i="2"/>
  <c r="K682" i="2"/>
  <c r="K681" i="2"/>
  <c r="K680" i="2"/>
  <c r="K679" i="2"/>
  <c r="K678" i="2"/>
  <c r="K677" i="2"/>
  <c r="K676" i="2"/>
  <c r="K675" i="2"/>
  <c r="K674" i="2"/>
  <c r="K673" i="2"/>
  <c r="K672" i="2"/>
  <c r="K671" i="2"/>
  <c r="K670" i="2"/>
  <c r="K669" i="2"/>
  <c r="K668" i="2"/>
  <c r="K667" i="2"/>
  <c r="K666" i="2"/>
  <c r="K665" i="2"/>
  <c r="K664" i="2"/>
  <c r="K663" i="2"/>
  <c r="K662" i="2"/>
  <c r="K661" i="2"/>
  <c r="K660" i="2"/>
  <c r="K659" i="2"/>
  <c r="K658" i="2"/>
  <c r="K657" i="2"/>
  <c r="K656" i="2"/>
  <c r="K655" i="2"/>
  <c r="K654" i="2"/>
  <c r="K653" i="2"/>
  <c r="K652" i="2"/>
  <c r="K651" i="2"/>
  <c r="K650" i="2"/>
  <c r="K649" i="2"/>
  <c r="K648" i="2"/>
  <c r="K647" i="2"/>
  <c r="K646" i="2"/>
  <c r="K645" i="2"/>
  <c r="K644" i="2"/>
  <c r="K643" i="2"/>
  <c r="K642" i="2"/>
  <c r="K641" i="2"/>
  <c r="K640" i="2"/>
  <c r="K639" i="2"/>
  <c r="K638" i="2"/>
  <c r="K637" i="2"/>
  <c r="K636" i="2"/>
  <c r="K635" i="2"/>
  <c r="K634" i="2"/>
  <c r="K633" i="2"/>
  <c r="K632" i="2"/>
  <c r="K631" i="2"/>
  <c r="K630" i="2"/>
  <c r="K629" i="2"/>
  <c r="K628" i="2"/>
  <c r="K627" i="2"/>
  <c r="K626" i="2"/>
  <c r="K625" i="2"/>
  <c r="K624" i="2"/>
  <c r="K623" i="2"/>
  <c r="K622" i="2"/>
  <c r="K621" i="2"/>
  <c r="K620" i="2"/>
  <c r="K619" i="2"/>
  <c r="K618" i="2"/>
  <c r="K617" i="2"/>
  <c r="K616" i="2"/>
  <c r="K615" i="2"/>
  <c r="K614" i="2"/>
  <c r="K613" i="2"/>
  <c r="K612" i="2"/>
  <c r="K611" i="2"/>
  <c r="K610" i="2"/>
  <c r="K609" i="2"/>
  <c r="K608" i="2"/>
  <c r="K607" i="2"/>
  <c r="K606" i="2"/>
  <c r="K605" i="2"/>
  <c r="K604" i="2"/>
  <c r="K603" i="2"/>
  <c r="K602" i="2"/>
  <c r="K601" i="2"/>
  <c r="K600" i="2"/>
  <c r="K599" i="2"/>
  <c r="K598" i="2"/>
  <c r="K597" i="2"/>
  <c r="K596" i="2"/>
  <c r="K595" i="2"/>
  <c r="K594" i="2"/>
  <c r="K593" i="2"/>
  <c r="K592" i="2"/>
  <c r="K591" i="2"/>
  <c r="K590" i="2"/>
  <c r="K589" i="2"/>
  <c r="K588" i="2"/>
  <c r="K587" i="2"/>
  <c r="K586" i="2"/>
  <c r="K585" i="2"/>
  <c r="K584" i="2"/>
  <c r="K583" i="2"/>
  <c r="K582" i="2"/>
  <c r="K581" i="2"/>
  <c r="K580" i="2"/>
  <c r="K579" i="2"/>
  <c r="K578" i="2"/>
  <c r="K577" i="2"/>
  <c r="K576" i="2"/>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3"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 r="H45" i="4" l="1"/>
  <c r="H25" i="4"/>
  <c r="H17" i="4"/>
  <c r="H36" i="4"/>
  <c r="H16" i="4"/>
  <c r="H32" i="4"/>
  <c r="H12" i="4"/>
  <c r="H31" i="4"/>
  <c r="H11" i="4"/>
  <c r="H30" i="4"/>
  <c r="H10" i="4"/>
  <c r="H9" i="4"/>
  <c r="H8" i="4"/>
  <c r="H27" i="4"/>
  <c r="D27" i="4" s="1"/>
  <c r="H7" i="4"/>
  <c r="C7" i="4" s="1"/>
  <c r="H26" i="4"/>
  <c r="C33" i="3"/>
  <c r="D33" i="3" s="1"/>
  <c r="C28" i="3"/>
  <c r="D28" i="3" s="1"/>
  <c r="M31" i="3"/>
  <c r="N31" i="3" s="1"/>
  <c r="U34" i="3"/>
  <c r="U29" i="3"/>
  <c r="E44" i="4"/>
  <c r="D38" i="3"/>
  <c r="M11" i="3"/>
  <c r="K12" i="3"/>
  <c r="K13" i="3" s="1"/>
  <c r="M13" i="3" s="1"/>
  <c r="U39" i="3"/>
  <c r="B39" i="4"/>
  <c r="N41" i="3"/>
  <c r="F22" i="4"/>
  <c r="F33" i="4"/>
  <c r="N36" i="3"/>
  <c r="U41" i="3"/>
  <c r="U33" i="3"/>
  <c r="U31" i="3"/>
  <c r="B30" i="3"/>
  <c r="D30" i="3" s="1"/>
  <c r="L35" i="3"/>
  <c r="N35" i="3" s="1"/>
  <c r="L38" i="3"/>
  <c r="N38" i="3" s="1"/>
  <c r="L28" i="3"/>
  <c r="N28" i="3" s="1"/>
  <c r="S33" i="3"/>
  <c r="S36" i="3"/>
  <c r="U36" i="3" s="1"/>
  <c r="L30" i="3"/>
  <c r="N30" i="3" s="1"/>
  <c r="L33" i="3"/>
  <c r="N33" i="3" s="1"/>
  <c r="S38" i="3"/>
  <c r="U38" i="3" s="1"/>
  <c r="L12" i="3"/>
  <c r="E3" i="4"/>
  <c r="A47" i="4" s="1"/>
  <c r="M12" i="3"/>
  <c r="B40" i="3"/>
  <c r="D40" i="3" s="1"/>
  <c r="B37" i="3"/>
  <c r="D37" i="3" s="1"/>
  <c r="L40" i="3"/>
  <c r="N40" i="3" s="1"/>
  <c r="B32" i="3"/>
  <c r="D32" i="3" s="1"/>
  <c r="B35" i="3"/>
  <c r="D35" i="3" s="1"/>
  <c r="U28" i="3"/>
  <c r="L29" i="3"/>
  <c r="N29" i="3" s="1"/>
  <c r="B31" i="3"/>
  <c r="D31" i="3" s="1"/>
  <c r="S32" i="3"/>
  <c r="U32" i="3" s="1"/>
  <c r="L34" i="3"/>
  <c r="N34" i="3" s="1"/>
  <c r="B36" i="3"/>
  <c r="D36" i="3" s="1"/>
  <c r="S37" i="3"/>
  <c r="U37" i="3" s="1"/>
  <c r="L39" i="3"/>
  <c r="N39" i="3" s="1"/>
  <c r="B41" i="3"/>
  <c r="D41" i="3" s="1"/>
  <c r="B29" i="3"/>
  <c r="D29" i="3" s="1"/>
  <c r="S30" i="3"/>
  <c r="U30" i="3" s="1"/>
  <c r="L32" i="3"/>
  <c r="N32" i="3" s="1"/>
  <c r="B34" i="3"/>
  <c r="D34" i="3" s="1"/>
  <c r="S35" i="3"/>
  <c r="U35" i="3" s="1"/>
  <c r="L37" i="3"/>
  <c r="N37" i="3" s="1"/>
  <c r="B39" i="3"/>
  <c r="D39" i="3" s="1"/>
  <c r="S40" i="3"/>
  <c r="U40" i="3" s="1"/>
  <c r="K14" i="3" l="1"/>
  <c r="L13" i="3"/>
  <c r="B44" i="4"/>
  <c r="A44" i="4"/>
  <c r="F44" i="4"/>
  <c r="C44" i="4"/>
  <c r="D44" i="4"/>
  <c r="B27" i="4"/>
  <c r="F27" i="4"/>
  <c r="A27" i="4"/>
  <c r="E27" i="4"/>
  <c r="E22" i="4"/>
  <c r="A39" i="4"/>
  <c r="C27" i="4"/>
  <c r="F7" i="4"/>
  <c r="C39" i="4"/>
  <c r="D39" i="4"/>
  <c r="E39" i="4"/>
  <c r="B33" i="4"/>
  <c r="C33" i="4"/>
  <c r="E33" i="4"/>
  <c r="D33" i="4"/>
  <c r="A7" i="4"/>
  <c r="D22" i="4"/>
  <c r="B7" i="4"/>
  <c r="D7" i="4"/>
  <c r="E7" i="4"/>
  <c r="B22" i="4"/>
  <c r="C22" i="4"/>
  <c r="A22" i="4"/>
  <c r="F39" i="4"/>
  <c r="A33" i="4"/>
  <c r="B38" i="4"/>
  <c r="A38" i="4"/>
  <c r="F38" i="4"/>
  <c r="C38" i="4"/>
  <c r="E38" i="4"/>
  <c r="D38" i="4"/>
  <c r="F43" i="4"/>
  <c r="E43" i="4"/>
  <c r="D43" i="4"/>
  <c r="C43" i="4"/>
  <c r="B43" i="4"/>
  <c r="A43" i="4"/>
  <c r="D9" i="4"/>
  <c r="C9" i="4"/>
  <c r="B9" i="4"/>
  <c r="A9" i="4"/>
  <c r="F9" i="4"/>
  <c r="E9" i="4"/>
  <c r="C25" i="4"/>
  <c r="B25" i="4"/>
  <c r="A25" i="4"/>
  <c r="F25" i="4"/>
  <c r="E25" i="4"/>
  <c r="D25" i="4"/>
  <c r="D10" i="4"/>
  <c r="C10" i="4"/>
  <c r="B10" i="4"/>
  <c r="A10" i="4"/>
  <c r="F10" i="4"/>
  <c r="E10" i="4"/>
  <c r="F8" i="4"/>
  <c r="E8" i="4"/>
  <c r="D8" i="4"/>
  <c r="C8" i="4"/>
  <c r="B8" i="4"/>
  <c r="A8" i="4"/>
  <c r="D42" i="4"/>
  <c r="B42" i="4"/>
  <c r="C42" i="4"/>
  <c r="A42" i="4"/>
  <c r="F42" i="4"/>
  <c r="E42" i="4"/>
  <c r="F26" i="4"/>
  <c r="E26" i="4"/>
  <c r="D26" i="4"/>
  <c r="C26" i="4"/>
  <c r="B26" i="4"/>
  <c r="A26" i="4"/>
  <c r="C13" i="4"/>
  <c r="B13" i="4"/>
  <c r="A13" i="4"/>
  <c r="F13" i="4"/>
  <c r="E13" i="4"/>
  <c r="D13" i="4"/>
  <c r="B28" i="4"/>
  <c r="F28" i="4"/>
  <c r="E28" i="4"/>
  <c r="A28" i="4"/>
  <c r="D28" i="4"/>
  <c r="C28" i="4"/>
  <c r="F11" i="4"/>
  <c r="A11" i="4"/>
  <c r="E11" i="4"/>
  <c r="D11" i="4"/>
  <c r="C11" i="4"/>
  <c r="B11" i="4"/>
  <c r="A18" i="4"/>
  <c r="F18" i="4"/>
  <c r="D18" i="4"/>
  <c r="C18" i="4"/>
  <c r="B18" i="4"/>
  <c r="E18" i="4"/>
  <c r="B36" i="4"/>
  <c r="A36" i="4"/>
  <c r="F36" i="4"/>
  <c r="E36" i="4"/>
  <c r="D36" i="4"/>
  <c r="C36" i="4"/>
  <c r="C35" i="4"/>
  <c r="B35" i="4"/>
  <c r="A35" i="4"/>
  <c r="F35" i="4"/>
  <c r="D35" i="4"/>
  <c r="E35" i="4"/>
  <c r="D32" i="4"/>
  <c r="C32" i="4"/>
  <c r="B32" i="4"/>
  <c r="A32" i="4"/>
  <c r="E32" i="4"/>
  <c r="F32" i="4"/>
  <c r="F41" i="4"/>
  <c r="A41" i="4"/>
  <c r="E41" i="4"/>
  <c r="D41" i="4"/>
  <c r="B41" i="4"/>
  <c r="C41" i="4"/>
  <c r="A19" i="4"/>
  <c r="E19" i="4"/>
  <c r="F19" i="4"/>
  <c r="D19" i="4"/>
  <c r="C19" i="4"/>
  <c r="B19" i="4"/>
  <c r="B16" i="4"/>
  <c r="A16" i="4"/>
  <c r="F16" i="4"/>
  <c r="E16" i="4"/>
  <c r="D16" i="4"/>
  <c r="C16" i="4"/>
  <c r="F21" i="4"/>
  <c r="E21" i="4"/>
  <c r="C21" i="4"/>
  <c r="B21" i="4"/>
  <c r="A21" i="4"/>
  <c r="D21" i="4"/>
  <c r="E6" i="4"/>
  <c r="D6" i="4"/>
  <c r="C6" i="4"/>
  <c r="B6" i="4"/>
  <c r="A6" i="4"/>
  <c r="F6" i="4"/>
  <c r="F14" i="4"/>
  <c r="E14" i="4"/>
  <c r="D14" i="4"/>
  <c r="C14" i="4"/>
  <c r="B14" i="4"/>
  <c r="A14" i="4"/>
  <c r="F37" i="4"/>
  <c r="E37" i="4"/>
  <c r="D37" i="4"/>
  <c r="C37" i="4"/>
  <c r="B37" i="4"/>
  <c r="A37" i="4"/>
  <c r="F23" i="4"/>
  <c r="E23" i="4"/>
  <c r="D23" i="4"/>
  <c r="C23" i="4"/>
  <c r="B23" i="4"/>
  <c r="A23" i="4"/>
  <c r="C45" i="4"/>
  <c r="F45" i="4"/>
  <c r="E45" i="4"/>
  <c r="D45" i="4"/>
  <c r="B45" i="4"/>
  <c r="A45" i="4"/>
  <c r="B15" i="4"/>
  <c r="A15" i="4"/>
  <c r="E15" i="4"/>
  <c r="D15" i="4"/>
  <c r="C15" i="4"/>
  <c r="F15" i="4"/>
  <c r="C12" i="4"/>
  <c r="B12" i="4"/>
  <c r="A12" i="4"/>
  <c r="F12" i="4"/>
  <c r="E12" i="4"/>
  <c r="D12" i="4"/>
  <c r="F17" i="4"/>
  <c r="E17" i="4"/>
  <c r="D17" i="4"/>
  <c r="C17" i="4"/>
  <c r="B17" i="4"/>
  <c r="A17" i="4"/>
  <c r="F40" i="4"/>
  <c r="E40" i="4"/>
  <c r="D40" i="4"/>
  <c r="C40" i="4"/>
  <c r="B40" i="4"/>
  <c r="A40" i="4"/>
  <c r="M14" i="3"/>
  <c r="L14" i="3"/>
  <c r="K15" i="3"/>
  <c r="D30" i="4"/>
  <c r="C30" i="4"/>
  <c r="B30" i="4"/>
  <c r="A30" i="4"/>
  <c r="F30" i="4"/>
  <c r="E30" i="4"/>
  <c r="E29" i="4"/>
  <c r="D29" i="4"/>
  <c r="C29" i="4"/>
  <c r="B29" i="4"/>
  <c r="A29" i="4"/>
  <c r="F29" i="4"/>
  <c r="F31" i="4"/>
  <c r="E31" i="4"/>
  <c r="A31" i="4"/>
  <c r="D31" i="4"/>
  <c r="C31" i="4"/>
  <c r="B31" i="4"/>
  <c r="F34" i="4"/>
  <c r="E34" i="4"/>
  <c r="D34" i="4"/>
  <c r="B34" i="4"/>
  <c r="C34" i="4"/>
  <c r="A34" i="4"/>
  <c r="F24" i="4"/>
  <c r="E24" i="4"/>
  <c r="D24" i="4"/>
  <c r="A24" i="4"/>
  <c r="C24" i="4"/>
  <c r="B24" i="4"/>
  <c r="F20" i="4"/>
  <c r="E20" i="4"/>
  <c r="D20" i="4"/>
  <c r="C20" i="4"/>
  <c r="B20" i="4"/>
  <c r="A20" i="4"/>
  <c r="K16" i="3" l="1"/>
  <c r="M15" i="3"/>
  <c r="L15" i="3"/>
  <c r="M16" i="3" l="1"/>
  <c r="L16" i="3"/>
  <c r="K17" i="3"/>
  <c r="K18" i="3" l="1"/>
  <c r="M17" i="3"/>
  <c r="L17" i="3"/>
  <c r="L18" i="3" l="1"/>
  <c r="K19" i="3"/>
  <c r="M18" i="3"/>
  <c r="K20" i="3" l="1"/>
  <c r="M19" i="3"/>
  <c r="L19" i="3"/>
  <c r="K21" i="3" l="1"/>
  <c r="M20" i="3"/>
  <c r="L20" i="3"/>
  <c r="L21" i="3" l="1"/>
  <c r="K22" i="3"/>
  <c r="M21" i="3"/>
  <c r="M22" i="3" l="1"/>
  <c r="L22" i="3"/>
</calcChain>
</file>

<file path=xl/sharedStrings.xml><?xml version="1.0" encoding="utf-8"?>
<sst xmlns="http://schemas.openxmlformats.org/spreadsheetml/2006/main" count="204" uniqueCount="156">
  <si>
    <t>Date Applied</t>
  </si>
  <si>
    <t>Company</t>
  </si>
  <si>
    <t>Job Title</t>
  </si>
  <si>
    <t>Location</t>
  </si>
  <si>
    <t>Source</t>
  </si>
  <si>
    <t>Job Posting URL</t>
  </si>
  <si>
    <t>Status</t>
  </si>
  <si>
    <t>Follow Up Date</t>
  </si>
  <si>
    <t>Contact / Recruiter</t>
  </si>
  <si>
    <t>Confirmation / Notes</t>
  </si>
  <si>
    <t>Week Starting</t>
  </si>
  <si>
    <t>Resume Version</t>
  </si>
  <si>
    <t>Role Category</t>
  </si>
  <si>
    <t>Resume Activity</t>
  </si>
  <si>
    <t>Recruiter Contact</t>
  </si>
  <si>
    <t>Interview Stage</t>
  </si>
  <si>
    <t>Feedback Type</t>
  </si>
  <si>
    <t>Feedback Detail</t>
  </si>
  <si>
    <t>JOB SEARCH  /  INTELLIGENCE</t>
  </si>
  <si>
    <t>APPLICATIONS</t>
  </si>
  <si>
    <t>OBSERVABLE ENGAGEMENT</t>
  </si>
  <si>
    <t>OFFERS</t>
  </si>
  <si>
    <t>APPLICATION ENGAGEMENT  /  FUNNEL</t>
  </si>
  <si>
    <t>Stage</t>
  </si>
  <si>
    <t>Applications</t>
  </si>
  <si>
    <t>Month</t>
  </si>
  <si>
    <t>Chart Month</t>
  </si>
  <si>
    <t>Submitted</t>
  </si>
  <si>
    <t>Viewed / Downloaded</t>
  </si>
  <si>
    <t>Offers</t>
  </si>
  <si>
    <t>Rejected</t>
  </si>
  <si>
    <t>CONVERSION BY ROLE CATEGORY</t>
  </si>
  <si>
    <t>CONVERSION BY RESUME VERSION</t>
  </si>
  <si>
    <t>Role category</t>
  </si>
  <si>
    <t>Applied</t>
  </si>
  <si>
    <t>Interviewed</t>
  </si>
  <si>
    <t>Interview rate</t>
  </si>
  <si>
    <t>Resume version</t>
  </si>
  <si>
    <t>READ THIS BEFORE INTERPRETING THE DASHBOARD</t>
  </si>
  <si>
    <t>Engagement = an application platform reported a view/download; not confirmation a human read your resume.</t>
  </si>
  <si>
    <t>Contact and interview metrics count each application at most once; missing employer signals do not prove inactivity.</t>
  </si>
  <si>
    <t>Applications by month are grouped by date applied; the most recent months have had less time to progress.</t>
  </si>
  <si>
    <t>Interview rate = applications reaching a phone/interview stage divided by applications with that category.</t>
  </si>
  <si>
    <t>Advertised salary bands use annualized range midpoints. Adjust hourly assumptions and thresholds on Lists.</t>
  </si>
  <si>
    <t>Customize the ten named tables in Lists!A1:J15; blank table rows are editable.</t>
  </si>
  <si>
    <t>Each dropdown reads its respective list table; leave any unused options blank.</t>
  </si>
  <si>
    <t>Comparison tables display all 14 options in each category; the charts currently plot the first 12.</t>
  </si>
  <si>
    <t>WEEKLY  /  JOB SEARCH REPORT</t>
  </si>
  <si>
    <t>Application Status</t>
  </si>
  <si>
    <t>Application Source</t>
  </si>
  <si>
    <t>Work Arrangement / Location</t>
  </si>
  <si>
    <t>Salary Range</t>
  </si>
  <si>
    <t>CUSTOMIZE THE LIST TABLES</t>
  </si>
  <si>
    <t>LinkedIn</t>
  </si>
  <si>
    <t>Remote</t>
  </si>
  <si>
    <t>Not reported</t>
  </si>
  <si>
    <t>None reported</t>
  </si>
  <si>
    <t>None</t>
  </si>
  <si>
    <t>Application Viewed</t>
  </si>
  <si>
    <t>Indeed</t>
  </si>
  <si>
    <t>Hybrid</t>
  </si>
  <si>
    <t>Viewed</t>
  </si>
  <si>
    <t>Phone Call</t>
  </si>
  <si>
    <t>Phone Screen</t>
  </si>
  <si>
    <t>Form Rejection</t>
  </si>
  <si>
    <t>Each column A–J is a separate Excel Table.</t>
  </si>
  <si>
    <t>Resume Downloaded</t>
  </si>
  <si>
    <t>Company Website</t>
  </si>
  <si>
    <t>On-site</t>
  </si>
  <si>
    <t>Downloaded</t>
  </si>
  <si>
    <t>Email</t>
  </si>
  <si>
    <t>First Interview</t>
  </si>
  <si>
    <t>Personalized Rejection</t>
  </si>
  <si>
    <t>Click a blank cell in rows 2–15 of a list and type your choice.</t>
  </si>
  <si>
    <t>Recruiter Contacted</t>
  </si>
  <si>
    <t>Recruiter</t>
  </si>
  <si>
    <t>Other</t>
  </si>
  <si>
    <t>Viewed + Downloaded</t>
  </si>
  <si>
    <t>LinkedIn Message</t>
  </si>
  <si>
    <t>Second Interview</t>
  </si>
  <si>
    <t>Recruiter Feedback</t>
  </si>
  <si>
    <t>Dropdown menus update using their named list tables.</t>
  </si>
  <si>
    <t>Phone Screening</t>
  </si>
  <si>
    <t>Referral</t>
  </si>
  <si>
    <t>Text Message</t>
  </si>
  <si>
    <t>Panel Interview</t>
  </si>
  <si>
    <t>Interview Feedback</t>
  </si>
  <si>
    <t>Blank cells in each table are available for new choices.</t>
  </si>
  <si>
    <t>Interview</t>
  </si>
  <si>
    <t>Networking</t>
  </si>
  <si>
    <t>Final Interview</t>
  </si>
  <si>
    <t>Offer Feedback</t>
  </si>
  <si>
    <t>Do not rename the table headers or table names.</t>
  </si>
  <si>
    <t>Offer</t>
  </si>
  <si>
    <t>Use Page Layout &gt; Themes to change theme colors.</t>
  </si>
  <si>
    <t>Edit salary parameters in M3:M4 and M7:M10.</t>
  </si>
  <si>
    <t>Dashboard compares the entries listed in these tables.</t>
  </si>
  <si>
    <t>Withdrawn</t>
  </si>
  <si>
    <t>Closed</t>
  </si>
  <si>
    <t>JOB SEARCH  /  INTELLIGENCE TOOLKIT</t>
  </si>
  <si>
    <t>Free, customizable Excel tracker and visual dashboard • Created by Lora Anderson</t>
  </si>
  <si>
    <t>01  RECORD APPLICATIONS</t>
  </si>
  <si>
    <t>In Job Applications, enter one application per row. Date, company and job title are the essentials; remaining fields are optional. The weekly helper calculates automatically. Use the salary-range dropdown if compensation was posted.</t>
  </si>
  <si>
    <t>02  CUSTOMIZE DROPDOWNS</t>
  </si>
  <si>
    <t>On Lists, each column A–J is a separate named Excel Table. Edit the sample choices or type your own in the blank rows through row 15. Dropdown choices in Job Applications update from those tables. Keep table headers unchanged.</t>
  </si>
  <si>
    <t>03  DOCUMENT EMPLOYER ENGAGEMENT</t>
  </si>
  <si>
    <t>Record application views, resume downloads, recruiter contacts, interview stages and feedback whenever you learn of them. If an interview later ends in rejection, keep the interview stage recorded and update Status to Rejected.</t>
  </si>
  <si>
    <t>04  UNDERSTAND YOUR RESULTS</t>
  </si>
  <si>
    <t>Search Analytics summarizes today's application records: current outcomes, observed employer activity, interview conversion by role and resume version, salary ranges, and monthly applications. A reported view is not proof a resume was read.</t>
  </si>
  <si>
    <t>05  CREATE A WEEKLY WORK-SEARCH REPORT</t>
  </si>
  <si>
    <t>Open Weekly Report and choose a Monday in B3. Up to 40 applications submitted that week appear below, with date, company, role, source, status and notes. Uses classic Excel functions (Excel 2010 or later), with no macros.</t>
  </si>
  <si>
    <t>06  CHANGE THE APPEARANCE</t>
  </si>
  <si>
    <t>Use Page Layout → Themes to try different workbook colors and fonts, or click any table and choose Table Design → Table Styles. The tracker uses native Excel Table styling so your own preferences are easy to apply.</t>
  </si>
  <si>
    <t>07  BUILT FOR EVERYDAY USE</t>
  </si>
  <si>
    <t>No VBA, Office Scripts, installation, hidden tracking, or automatic activity history. The dashboard is formula-driven. If you filter out Rejected applications on the main table, they still count in the analytics.</t>
  </si>
  <si>
    <t>08  SHARING &amp; PRIVACY</t>
  </si>
  <si>
    <t>This download is blank. Before forwarding your own populated copy, remove employer details, contact information and personal notes. Free for personal use and redistribution with attribution; please retain the creator credit.</t>
  </si>
  <si>
    <t>CREATED BY  /  LORA ANDERSON</t>
  </si>
  <si>
    <t>Operations Leadership  •  Process Improvement  •  Data Analytics</t>
  </si>
  <si>
    <t>Portfolio: https://loraanderson410.github.io/professional-portfolio/</t>
  </si>
  <si>
    <t>© 2026 Lora Anderson  |  Free for personal use and sharing with attribution</t>
  </si>
  <si>
    <t>EMPLOYER RESPONSES</t>
  </si>
  <si>
    <t>REACHED INTERVIEW</t>
  </si>
  <si>
    <t>APPLICATIONS BY MONTH  /  FROM YOUR FIRST APPLICATION</t>
  </si>
  <si>
    <t>Employer Response</t>
  </si>
  <si>
    <t>Reached Interview</t>
  </si>
  <si>
    <t>SALARY RANGE SUMMARY</t>
  </si>
  <si>
    <t>Advertised salary</t>
  </si>
  <si>
    <t>JOB SEARCH INTELLIGENCE TOOLKIT  •  CREATED BY LORA ANDERSON  •  FREE RESOURCE</t>
  </si>
  <si>
    <t>Report helper</t>
  </si>
  <si>
    <t>Choose a Monday in B3 to show applications submitted during that week.</t>
  </si>
  <si>
    <t>Applications this week</t>
  </si>
  <si>
    <t>Notes</t>
  </si>
  <si>
    <t>Under $50,000</t>
  </si>
  <si>
    <t>$50,000–$74,999</t>
  </si>
  <si>
    <t>$75,000–$99,999</t>
  </si>
  <si>
    <t>$100,000–$124,999</t>
  </si>
  <si>
    <t>$125,000–$149,999</t>
  </si>
  <si>
    <t>$150,000–$174,999</t>
  </si>
  <si>
    <t>$175,000–$199,999</t>
  </si>
  <si>
    <t>$200,000+</t>
  </si>
  <si>
    <t>Not Disclosed</t>
  </si>
  <si>
    <t>Negotiable</t>
  </si>
  <si>
    <t>Example Company ABC</t>
  </si>
  <si>
    <t>Example Company XYZ</t>
  </si>
  <si>
    <t>Example Job Title 2</t>
  </si>
  <si>
    <t>Example Job Title 1</t>
  </si>
  <si>
    <t>Resume 1</t>
  </si>
  <si>
    <t>Resume 2</t>
  </si>
  <si>
    <t>Resume 3</t>
  </si>
  <si>
    <t>Resume 4</t>
  </si>
  <si>
    <t>City, State</t>
  </si>
  <si>
    <t>Category 1</t>
  </si>
  <si>
    <t>Category 2</t>
  </si>
  <si>
    <t>Category 3</t>
  </si>
  <si>
    <t>Measure the search. Detect patterns. Learn what converts. | DO NOT 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</si>
</sst>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d\,\ yyyy"/>
    <numFmt numFmtId="165" formatCode="\$#,##0;[Red]\(\$#,##0\);\–"/>
    <numFmt numFmtId="166" formatCode="mmm\ yyyy"/>
  </numFmts>
  <fonts count="19">
    <font>
      <sz val="11"/>
      <name val="Carlito"/>
    </font>
    <font>
      <b/>
      <sz val="11"/>
      <color theme="0"/>
      <name val="Carlito"/>
    </font>
    <font>
      <b/>
      <sz val="11"/>
      <name val="Carlito"/>
    </font>
    <font>
      <b/>
      <sz val="18"/>
      <color theme="0"/>
      <name val="Carlito"/>
    </font>
    <font>
      <sz val="10"/>
      <color theme="4"/>
      <name val="Carlito"/>
    </font>
    <font>
      <b/>
      <sz val="10"/>
      <color theme="0"/>
      <name val="Carlito"/>
    </font>
    <font>
      <b/>
      <sz val="25"/>
      <color theme="4"/>
      <name val="Carlito"/>
    </font>
    <font>
      <b/>
      <sz val="11"/>
      <color theme="4"/>
      <name val="Carlito"/>
    </font>
    <font>
      <sz val="10"/>
      <color theme="1"/>
      <name val="Carlito"/>
    </font>
    <font>
      <b/>
      <sz val="18"/>
      <color rgb="FFF8FAFC"/>
      <name val="Carlito"/>
    </font>
    <font>
      <sz val="10"/>
      <color rgb="FFF8FAFC"/>
      <name val="Carlito"/>
    </font>
    <font>
      <sz val="11"/>
      <color rgb="FFF8FAFC"/>
      <name val="Carlito"/>
    </font>
    <font>
      <b/>
      <sz val="12"/>
      <color theme="0"/>
      <name val="Carlito"/>
    </font>
    <font>
      <sz val="12"/>
      <color theme="4"/>
      <name val="Carlito"/>
    </font>
    <font>
      <b/>
      <sz val="14"/>
      <color rgb="FFFFFFFF"/>
      <name val="Carlito"/>
    </font>
    <font>
      <sz val="11"/>
      <color rgb="FF146B8A"/>
      <name val="Carlito"/>
    </font>
    <font>
      <i/>
      <sz val="10"/>
      <name val="Carlito"/>
    </font>
    <font>
      <i/>
      <sz val="10"/>
      <color rgb="FF40687B"/>
      <name val="Carlito"/>
    </font>
    <font>
      <sz val="8"/>
      <name val="Carlito"/>
    </font>
  </fonts>
  <fills count="11">
    <fill>
      <patternFill patternType="none"/>
    </fill>
    <fill>
      <patternFill patternType="gray125"/>
    </fill>
    <fill>
      <patternFill patternType="solid">
        <fgColor theme="4"/>
      </patternFill>
    </fill>
    <fill>
      <patternFill patternType="solid">
        <fgColor rgb="FFE7F4F3"/>
      </patternFill>
    </fill>
    <fill>
      <patternFill patternType="solid">
        <fgColor rgb="FFEBF3F8"/>
      </patternFill>
    </fill>
    <fill>
      <patternFill patternType="solid">
        <fgColor rgb="FFF3F6F9"/>
      </patternFill>
    </fill>
    <fill>
      <patternFill patternType="solid">
        <fgColor rgb="FFFFFFFF"/>
      </patternFill>
    </fill>
    <fill>
      <patternFill patternType="solid">
        <fgColor theme="0"/>
      </patternFill>
    </fill>
    <fill>
      <patternFill patternType="solid">
        <fgColor theme="0"/>
      </patternFill>
    </fill>
    <fill>
      <patternFill patternType="solid">
        <fgColor rgb="FFFEF3C7"/>
      </patternFill>
    </fill>
    <fill>
      <patternFill patternType="solid">
        <fgColor rgb="FF14516A"/>
      </patternFill>
    </fill>
  </fills>
  <borders count="9">
    <border>
      <left/>
      <right/>
      <top/>
      <bottom/>
      <diagonal/>
    </border>
    <border>
      <left style="thin">
        <color theme="4"/>
      </left>
      <right style="thin">
        <color theme="4"/>
      </right>
      <top style="thin">
        <color theme="4"/>
      </top>
      <bottom/>
      <diagonal/>
    </border>
    <border>
      <left style="thin">
        <color theme="4"/>
      </left>
      <right style="thin">
        <color theme="4"/>
      </right>
      <top/>
      <bottom/>
      <diagonal/>
    </border>
    <border>
      <left style="thin">
        <color theme="4"/>
      </left>
      <right style="thin">
        <color theme="4"/>
      </right>
      <top/>
      <bottom style="thin">
        <color theme="4"/>
      </bottom>
      <diagonal/>
    </border>
    <border>
      <left style="thin">
        <color theme="4"/>
      </left>
      <right/>
      <top/>
      <bottom/>
      <diagonal/>
    </border>
    <border>
      <left style="thin">
        <color theme="4"/>
      </left>
      <right/>
      <top/>
      <bottom style="thin">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4">
    <xf numFmtId="0" fontId="0" fillId="0" borderId="0" xfId="0"/>
    <xf numFmtId="0" fontId="1" fillId="2" borderId="0" xfId="0" applyNumberFormat="1" applyFont="1" applyFill="1" applyBorder="1"/>
    <xf numFmtId="0" fontId="0" fillId="3" borderId="0" xfId="0" applyNumberFormat="1" applyFont="1" applyFill="1" applyBorder="1"/>
    <xf numFmtId="0" fontId="2" fillId="0" borderId="0" xfId="0" applyNumberFormat="1" applyFont="1" applyFill="1" applyBorder="1"/>
    <xf numFmtId="0" fontId="1" fillId="2" borderId="0" xfId="0" applyNumberFormat="1" applyFont="1" applyFill="1" applyBorder="1" applyAlignment="1">
      <alignment vertical="center" wrapText="1"/>
    </xf>
    <xf numFmtId="164" fontId="0" fillId="0" borderId="0" xfId="0" applyNumberFormat="1" applyFont="1" applyFill="1" applyBorder="1"/>
    <xf numFmtId="165" fontId="0" fillId="0" borderId="0" xfId="0" applyNumberFormat="1" applyFont="1" applyFill="1" applyBorder="1"/>
    <xf numFmtId="0" fontId="3" fillId="2" borderId="0" xfId="0" applyNumberFormat="1" applyFont="1" applyFill="1" applyBorder="1" applyAlignment="1">
      <alignment vertical="center"/>
    </xf>
    <xf numFmtId="0" fontId="4" fillId="4" borderId="0" xfId="0" applyNumberFormat="1" applyFont="1" applyFill="1" applyBorder="1" applyAlignment="1">
      <alignment vertical="center"/>
    </xf>
    <xf numFmtId="0" fontId="5" fillId="2" borderId="0" xfId="0" applyNumberFormat="1" applyFont="1" applyFill="1" applyBorder="1"/>
    <xf numFmtId="0" fontId="6" fillId="4" borderId="0" xfId="0" applyNumberFormat="1" applyFont="1" applyFill="1" applyBorder="1"/>
    <xf numFmtId="0" fontId="1" fillId="2" borderId="0" xfId="0" applyNumberFormat="1" applyFont="1" applyFill="1" applyBorder="1" applyAlignment="1">
      <alignment vertical="center"/>
    </xf>
    <xf numFmtId="166" fontId="0" fillId="0" borderId="0" xfId="0" applyNumberFormat="1" applyFont="1" applyFill="1" applyBorder="1"/>
    <xf numFmtId="0" fontId="7" fillId="4" borderId="0" xfId="0" applyNumberFormat="1" applyFont="1" applyFill="1" applyBorder="1"/>
    <xf numFmtId="0" fontId="7" fillId="4" borderId="0" xfId="0" applyNumberFormat="1" applyFont="1" applyFill="1" applyBorder="1" applyAlignment="1">
      <alignment wrapText="1"/>
    </xf>
    <xf numFmtId="9" fontId="0" fillId="0" borderId="0" xfId="0" applyNumberFormat="1" applyFont="1" applyFill="1" applyBorder="1"/>
    <xf numFmtId="0" fontId="4" fillId="0" borderId="0" xfId="0" applyNumberFormat="1" applyFont="1" applyFill="1" applyBorder="1"/>
    <xf numFmtId="0" fontId="8" fillId="0" borderId="0" xfId="0" applyNumberFormat="1" applyFont="1" applyFill="1" applyBorder="1"/>
    <xf numFmtId="0" fontId="0" fillId="5" borderId="0" xfId="0" applyNumberFormat="1" applyFont="1" applyFill="1" applyBorder="1" applyAlignment="1">
      <alignment vertical="center" wrapText="1"/>
    </xf>
    <xf numFmtId="0" fontId="0" fillId="6" borderId="0" xfId="0" applyNumberFormat="1" applyFont="1" applyFill="1" applyBorder="1"/>
    <xf numFmtId="0" fontId="1" fillId="2" borderId="1" xfId="0" applyNumberFormat="1" applyFont="1" applyFill="1" applyBorder="1" applyAlignment="1">
      <alignment wrapText="1"/>
    </xf>
    <xf numFmtId="0" fontId="0" fillId="7" borderId="2" xfId="0" applyNumberFormat="1" applyFont="1" applyFill="1" applyBorder="1"/>
    <xf numFmtId="0" fontId="0" fillId="7" borderId="3" xfId="0" applyNumberFormat="1" applyFont="1" applyFill="1" applyBorder="1"/>
    <xf numFmtId="14" fontId="1" fillId="2" borderId="0" xfId="0" applyNumberFormat="1" applyFont="1" applyFill="1" applyBorder="1" applyAlignment="1">
      <alignment vertical="center" wrapText="1"/>
    </xf>
    <xf numFmtId="14" fontId="0" fillId="0" borderId="0" xfId="0" applyNumberFormat="1"/>
    <xf numFmtId="0" fontId="0" fillId="7" borderId="4" xfId="0" applyNumberFormat="1" applyFont="1" applyFill="1" applyBorder="1"/>
    <xf numFmtId="0" fontId="0" fillId="7" borderId="5" xfId="0" applyNumberFormat="1" applyFont="1" applyFill="1" applyBorder="1"/>
    <xf numFmtId="0" fontId="0" fillId="8" borderId="6" xfId="0" applyFill="1" applyBorder="1"/>
    <xf numFmtId="0" fontId="0" fillId="8" borderId="7" xfId="0" applyFill="1" applyBorder="1"/>
    <xf numFmtId="0" fontId="0" fillId="8" borderId="8" xfId="0" applyNumberFormat="1" applyFont="1" applyFill="1" applyBorder="1"/>
    <xf numFmtId="164" fontId="0" fillId="0" borderId="0" xfId="0" applyNumberFormat="1" applyFont="1" applyFill="1" applyBorder="1"/>
    <xf numFmtId="164" fontId="0" fillId="4" borderId="0" xfId="0" applyNumberFormat="1" applyFont="1" applyFill="1" applyBorder="1"/>
    <xf numFmtId="0" fontId="9" fillId="2" borderId="0" xfId="0" applyNumberFormat="1" applyFont="1" applyFill="1" applyBorder="1" applyAlignment="1">
      <alignment vertical="center"/>
    </xf>
    <xf numFmtId="0" fontId="10" fillId="4" borderId="0" xfId="0" applyNumberFormat="1" applyFont="1" applyFill="1" applyBorder="1" applyAlignment="1">
      <alignment vertical="center"/>
    </xf>
    <xf numFmtId="0" fontId="11" fillId="0" borderId="0" xfId="0" applyNumberFormat="1" applyFont="1" applyFill="1" applyBorder="1"/>
    <xf numFmtId="164" fontId="0" fillId="9" borderId="0" xfId="0" applyNumberFormat="1" applyFont="1" applyFill="1" applyBorder="1"/>
    <xf numFmtId="0" fontId="12" fillId="2" borderId="0" xfId="0" applyNumberFormat="1" applyFont="1" applyFill="1" applyBorder="1"/>
    <xf numFmtId="0" fontId="13" fillId="4" borderId="0" xfId="0" applyNumberFormat="1" applyFont="1" applyFill="1" applyBorder="1" applyAlignment="1">
      <alignment vertical="center"/>
    </xf>
    <xf numFmtId="0" fontId="0" fillId="10" borderId="0" xfId="0" applyNumberFormat="1" applyFont="1" applyFill="1" applyBorder="1" applyAlignment="1">
      <alignment vertical="center" wrapText="1"/>
    </xf>
    <xf numFmtId="0" fontId="14" fillId="10" borderId="0" xfId="0" applyNumberFormat="1" applyFont="1" applyFill="1" applyBorder="1" applyAlignment="1">
      <alignment vertical="center" wrapText="1"/>
    </xf>
    <xf numFmtId="0" fontId="0" fillId="0" borderId="0" xfId="0" applyNumberFormat="1" applyFont="1" applyFill="1" applyBorder="1"/>
    <xf numFmtId="0" fontId="15" fillId="0" borderId="0" xfId="0" applyNumberFormat="1" applyFont="1" applyFill="1" applyBorder="1"/>
    <xf numFmtId="0" fontId="16" fillId="0" borderId="0" xfId="0" applyNumberFormat="1" applyFont="1" applyFill="1" applyBorder="1"/>
    <xf numFmtId="0" fontId="17" fillId="0" borderId="0" xfId="0" applyNumberFormat="1" applyFont="1" applyFill="1" applyBorder="1"/>
  </cellXfs>
  <cellStyles count="1">
    <cellStyle name="Normal" xfId="0" builtinId="0"/>
  </cellStyles>
  <dxfs count="5">
    <dxf>
      <fill>
        <patternFill patternType="solid">
          <bgColor rgb="FFECF5F7"/>
        </patternFill>
      </fill>
    </dxf>
    <dxf>
      <fill>
        <patternFill>
          <bgColor rgb="FFDEF4E8"/>
        </patternFill>
      </fill>
    </dxf>
    <dxf>
      <fill>
        <patternFill>
          <bgColor rgb="FFFCE8E6"/>
        </patternFill>
      </fill>
    </dxf>
    <dxf>
      <fill>
        <patternFill>
          <bgColor indexed="64"/>
        </patternFill>
      </fill>
      <border>
        <left style="thin">
          <color indexed="64"/>
        </left>
        <right style="thin">
          <color indexed="64"/>
        </right>
        <top/>
        <bottom/>
      </border>
    </dxf>
    <dxf>
      <fill>
        <patternFill>
          <bgColor indexed="6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Applications</c:v>
          </c:tx>
          <c:invertIfNegative val="1"/>
          <c:cat>
            <c:strRef>
              <c:f>'Search Analytics'!$A$11:$A$16</c:f>
              <c:strCache>
                <c:ptCount val="6"/>
                <c:pt idx="0">
                  <c:v>Submitted</c:v>
                </c:pt>
                <c:pt idx="1">
                  <c:v>Viewed / Downloaded</c:v>
                </c:pt>
                <c:pt idx="2">
                  <c:v>Employer Response</c:v>
                </c:pt>
                <c:pt idx="3">
                  <c:v>Reached Interview</c:v>
                </c:pt>
                <c:pt idx="4">
                  <c:v>Offers</c:v>
                </c:pt>
                <c:pt idx="5">
                  <c:v>Rejected</c:v>
                </c:pt>
              </c:strCache>
            </c:strRef>
          </c:cat>
          <c:val>
            <c:numRef>
              <c:f>'Search Analytics'!$B$11:$B$16</c:f>
              <c:numCache>
                <c:formatCode>General</c:formatCode>
                <c:ptCount val="6"/>
                <c:pt idx="0">
                  <c:v>2</c:v>
                </c:pt>
                <c:pt idx="1">
                  <c:v>2</c:v>
                </c:pt>
                <c:pt idx="2">
                  <c:v>2</c:v>
                </c:pt>
                <c:pt idx="3">
                  <c:v>2</c:v>
                </c:pt>
                <c:pt idx="4">
                  <c:v>0</c:v>
                </c:pt>
                <c:pt idx="5">
                  <c:v>1</c:v>
                </c:pt>
              </c:numCache>
            </c:numRef>
          </c:val>
          <c:extLst>
            <c:ext xmlns:c16="http://schemas.microsoft.com/office/drawing/2014/chart" uri="{C3380CC4-5D6E-409C-BE32-E72D297353CC}">
              <c16:uniqueId val="{00000000-B08E-4810-A524-B2A20978FA0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0"/>
        <c:ser>
          <c:idx val="0"/>
          <c:order val="0"/>
          <c:tx>
            <c:v>Applications</c:v>
          </c:tx>
          <c:marker>
            <c:symbol val="none"/>
          </c:marker>
          <c:cat>
            <c:strRef>
              <c:f>'Search Analytics'!$M$11:$M$22</c:f>
              <c:strCache>
                <c:ptCount val="12"/>
                <c:pt idx="0">
                  <c:v>Oct 26</c:v>
                </c:pt>
                <c:pt idx="1">
                  <c:v>Nov 26</c:v>
                </c:pt>
                <c:pt idx="2">
                  <c:v>Dec 26</c:v>
                </c:pt>
                <c:pt idx="3">
                  <c:v>Jan 27</c:v>
                </c:pt>
                <c:pt idx="4">
                  <c:v>Feb 27</c:v>
                </c:pt>
                <c:pt idx="5">
                  <c:v>Mar 27</c:v>
                </c:pt>
                <c:pt idx="6">
                  <c:v>Apr 27</c:v>
                </c:pt>
                <c:pt idx="7">
                  <c:v>May 27</c:v>
                </c:pt>
                <c:pt idx="8">
                  <c:v>Jun 27</c:v>
                </c:pt>
                <c:pt idx="9">
                  <c:v>Jul 27</c:v>
                </c:pt>
                <c:pt idx="10">
                  <c:v>Aug 27</c:v>
                </c:pt>
                <c:pt idx="11">
                  <c:v>Sep 27</c:v>
                </c:pt>
              </c:strCache>
            </c:strRef>
          </c:cat>
          <c:val>
            <c:numRef>
              <c:f>'Search Analytics'!$L$11:$L$22</c:f>
              <c:numCache>
                <c:formatCode>General</c:formatCode>
                <c:ptCount val="12"/>
                <c:pt idx="0">
                  <c:v>2</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E01D-4C7B-BA02-3DDD43851B7D}"/>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Interviews</c:v>
          </c:tx>
          <c:invertIfNegative val="1"/>
          <c:cat>
            <c:strRef>
              <c:f>'Search Analytics'!$A$28:$A$41</c:f>
              <c:strCache>
                <c:ptCount val="4"/>
                <c:pt idx="0">
                  <c:v>Category 1</c:v>
                </c:pt>
                <c:pt idx="1">
                  <c:v>Category 2</c:v>
                </c:pt>
                <c:pt idx="2">
                  <c:v>Category 3</c:v>
                </c:pt>
                <c:pt idx="3">
                  <c:v>3</c:v>
                </c:pt>
              </c:strCache>
            </c:strRef>
          </c:cat>
          <c:val>
            <c:numRef>
              <c:f>'Search Analytics'!$C$28:$C$41</c:f>
              <c:numCache>
                <c:formatCode>General</c:formatCode>
                <c:ptCount val="14"/>
                <c:pt idx="0">
                  <c:v>1</c:v>
                </c:pt>
                <c:pt idx="1">
                  <c:v>1</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D273-4211-94CE-61F8E0D4902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Interviews</c:v>
          </c:tx>
          <c:invertIfNegative val="1"/>
          <c:cat>
            <c:strRef>
              <c:f>'Search Analytics'!$K$28:$K$41</c:f>
              <c:strCache>
                <c:ptCount val="4"/>
                <c:pt idx="0">
                  <c:v>Resume 1</c:v>
                </c:pt>
                <c:pt idx="1">
                  <c:v>Resume 2</c:v>
                </c:pt>
                <c:pt idx="2">
                  <c:v>Resume 3</c:v>
                </c:pt>
                <c:pt idx="3">
                  <c:v>Resume 4</c:v>
                </c:pt>
              </c:strCache>
            </c:strRef>
          </c:cat>
          <c:val>
            <c:numRef>
              <c:f>'Search Analytics'!$M$28:$M$41</c:f>
              <c:numCache>
                <c:formatCode>General</c:formatCode>
                <c:ptCount val="14"/>
                <c:pt idx="0">
                  <c:v>1</c:v>
                </c:pt>
                <c:pt idx="1">
                  <c:v>1</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F417-4279-B5B2-F0362A7276E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9</xdr:row>
      <xdr:rowOff>0</xdr:rowOff>
    </xdr:from>
    <xdr:to>
      <xdr:col>9</xdr:col>
      <xdr:colOff>0</xdr:colOff>
      <xdr:row>24</xdr:row>
      <xdr:rowOff>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9</xdr:row>
      <xdr:rowOff>0</xdr:rowOff>
    </xdr:from>
    <xdr:to>
      <xdr:col>21</xdr:col>
      <xdr:colOff>0</xdr:colOff>
      <xdr:row>24</xdr:row>
      <xdr:rowOff>0</xdr:rowOff>
    </xdr:to>
    <xdr:graphicFrame macro="">
      <xdr:nvGraphicFramePr>
        <xdr:cNvPr id="3" nam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26</xdr:row>
      <xdr:rowOff>19051</xdr:rowOff>
    </xdr:from>
    <xdr:to>
      <xdr:col>9</xdr:col>
      <xdr:colOff>0</xdr:colOff>
      <xdr:row>42</xdr:row>
      <xdr:rowOff>57151</xdr:rowOff>
    </xdr:to>
    <xdr:graphicFrame macro="">
      <xdr:nvGraphicFramePr>
        <xdr:cNvPr id="4" name="Char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19050</xdr:colOff>
      <xdr:row>26</xdr:row>
      <xdr:rowOff>28575</xdr:rowOff>
    </xdr:from>
    <xdr:to>
      <xdr:col>17</xdr:col>
      <xdr:colOff>19050</xdr:colOff>
      <xdr:row>41</xdr:row>
      <xdr:rowOff>9525</xdr:rowOff>
    </xdr:to>
    <xdr:graphicFrame macro="">
      <xdr:nvGraphicFramePr>
        <xdr:cNvPr id="5" name="Chart">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0000000}" name="JobApplications" displayName="JobApplications" ref="A1:S1001" totalsRowShown="0">
  <tableColumns count="19">
    <tableColumn id="1" xr3:uid="{00000000-0010-0000-0000-000001000000}" name="Date Applied"/>
    <tableColumn id="2" xr3:uid="{00000000-0010-0000-0000-000002000000}" name="Company"/>
    <tableColumn id="3" xr3:uid="{00000000-0010-0000-0000-000003000000}" name="Job Title"/>
    <tableColumn id="4" xr3:uid="{00000000-0010-0000-0000-000004000000}" name="Location"/>
    <tableColumn id="5" xr3:uid="{00000000-0010-0000-0000-000005000000}" name="Source"/>
    <tableColumn id="6" xr3:uid="{00000000-0010-0000-0000-000006000000}" name="Job Posting URL"/>
    <tableColumn id="7" xr3:uid="{00000000-0010-0000-0000-000007000000}" name="Status"/>
    <tableColumn id="8" xr3:uid="{00000000-0010-0000-0000-000008000000}" name="Follow Up Date"/>
    <tableColumn id="9" xr3:uid="{00000000-0010-0000-0000-000009000000}" name="Contact / Recruiter"/>
    <tableColumn id="10" xr3:uid="{00000000-0010-0000-0000-00000A000000}" name="Confirmation / Notes"/>
    <tableColumn id="11" xr3:uid="{00000000-0010-0000-0000-00000B000000}" name="Week Starting"/>
    <tableColumn id="12" xr3:uid="{00000000-0010-0000-0000-00000C000000}" name="Resume Version"/>
    <tableColumn id="13" xr3:uid="{00000000-0010-0000-0000-00000D000000}" name="Role Category"/>
    <tableColumn id="14" xr3:uid="{00000000-0010-0000-0000-00000E000000}" name="Resume Activity"/>
    <tableColumn id="15" xr3:uid="{00000000-0010-0000-0000-00000F000000}" name="Recruiter Contact"/>
    <tableColumn id="16" xr3:uid="{00000000-0010-0000-0000-000010000000}" name="Interview Stage"/>
    <tableColumn id="17" xr3:uid="{00000000-0010-0000-0000-000011000000}" name="Feedback Type"/>
    <tableColumn id="18" xr3:uid="{00000000-0010-0000-0000-000012000000}" name="Feedback Detail"/>
    <tableColumn id="19" xr3:uid="{00000000-0010-0000-0000-000013000000}" name="Salary Range"/>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JobStatus" displayName="JobStatus" ref="A1:A15" totalsRowShown="0">
  <tableColumns count="1">
    <tableColumn id="1" xr3:uid="{00000000-0010-0000-0100-000001000000}" name="Application Statu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ApplicationSource" displayName="ApplicationSource" ref="B1:B15" totalsRowShown="0">
  <tableColumns count="1">
    <tableColumn id="1" xr3:uid="{00000000-0010-0000-0200-000001000000}" name="Application Source"/>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WorkArrangement" displayName="WorkArrangement" ref="C1:C15" totalsRowShown="0">
  <tableColumns count="1">
    <tableColumn id="1" xr3:uid="{00000000-0010-0000-0300-000001000000}" name="Work Arrangement / Locatio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ResumeVersion" displayName="ResumeVersion" ref="D1:D15" totalsRowShown="0">
  <tableColumns count="1">
    <tableColumn id="1" xr3:uid="{00000000-0010-0000-0400-000001000000}" name="Resume Versio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PositionCategory" displayName="PositionCategory" ref="E1:E15" totalsRowShown="0">
  <tableColumns count="1">
    <tableColumn id="1" xr3:uid="{00000000-0010-0000-0500-000001000000}" name="Role Category"/>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ResumeActivity" displayName="ResumeActivity" ref="F1:F15" totalsRowShown="0">
  <tableColumns count="1">
    <tableColumn id="1" xr3:uid="{00000000-0010-0000-0600-000001000000}" name="Resume Activity"/>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RecruiterContact" displayName="RecruiterContact" ref="G1:G15" totalsRowShown="0">
  <tableColumns count="1">
    <tableColumn id="1" xr3:uid="{00000000-0010-0000-0700-000001000000}" name="Recruiter Contact"/>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InterviewStage" displayName="InterviewStage" ref="H1:H15" totalsRowShown="0">
  <tableColumns count="1">
    <tableColumn id="1" xr3:uid="{00000000-0010-0000-0800-000001000000}" name="Interview Stage"/>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9000000}" name="FeedbackType" displayName="FeedbackType" ref="I1:I15" totalsRowShown="0">
  <tableColumns count="1">
    <tableColumn id="1" xr3:uid="{00000000-0010-0000-0900-000001000000}" name="Feedback Type"/>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SalaryRange" displayName="SalaryRange" ref="J1:J15" totalsRowShown="0" dataDxfId="4">
  <tableColumns count="1">
    <tableColumn id="1" xr3:uid="{00000000-0010-0000-0A00-000001000000}" name="Salary Range" dataDxfId="3"/>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tabSelected="1" workbookViewId="0">
      <pane ySplit="2" topLeftCell="A3" activePane="bottomLeft" state="frozen"/>
      <selection pane="bottomLeft" activeCell="A46" sqref="A46"/>
    </sheetView>
  </sheetViews>
  <sheetFormatPr defaultRowHeight="14.25"/>
  <cols>
    <col min="1" max="1" width="96" customWidth="1"/>
    <col min="2" max="10" width="18" customWidth="1"/>
  </cols>
  <sheetData>
    <row r="1" spans="1:10" ht="45" customHeight="1">
      <c r="A1" s="7" t="s">
        <v>99</v>
      </c>
      <c r="B1" s="7"/>
      <c r="C1" s="7"/>
      <c r="D1" s="7"/>
      <c r="E1" s="7"/>
      <c r="F1" s="7"/>
      <c r="G1" s="7"/>
      <c r="H1" s="7"/>
      <c r="I1" s="7"/>
      <c r="J1" s="7"/>
    </row>
    <row r="2" spans="1:10" ht="29.1" customHeight="1">
      <c r="A2" s="37" t="s">
        <v>100</v>
      </c>
      <c r="B2" s="8"/>
      <c r="C2" s="8"/>
      <c r="D2" s="8"/>
      <c r="E2" s="8"/>
      <c r="F2" s="8"/>
      <c r="G2" s="8"/>
      <c r="H2" s="8"/>
      <c r="I2" s="8"/>
      <c r="J2" s="8"/>
    </row>
    <row r="4" spans="1:10" ht="27.95" customHeight="1">
      <c r="A4" s="36" t="s">
        <v>101</v>
      </c>
      <c r="B4" s="1"/>
      <c r="C4" s="1"/>
      <c r="D4" s="1"/>
      <c r="E4" s="1"/>
      <c r="F4" s="1"/>
      <c r="G4" s="1"/>
      <c r="H4" s="1"/>
      <c r="I4" s="1"/>
      <c r="J4" s="1"/>
    </row>
    <row r="5" spans="1:10" ht="54" customHeight="1">
      <c r="A5" s="18" t="s">
        <v>102</v>
      </c>
      <c r="B5" s="18"/>
      <c r="C5" s="18"/>
      <c r="D5" s="18"/>
      <c r="E5" s="18"/>
      <c r="F5" s="18"/>
      <c r="G5" s="18"/>
      <c r="H5" s="18"/>
      <c r="I5" s="18"/>
      <c r="J5" s="18"/>
    </row>
    <row r="6" spans="1:10" ht="23.1" customHeight="1">
      <c r="A6" s="18"/>
      <c r="B6" s="18"/>
      <c r="C6" s="18"/>
      <c r="D6" s="18"/>
      <c r="E6" s="18"/>
      <c r="F6" s="18"/>
      <c r="G6" s="18"/>
      <c r="H6" s="18"/>
      <c r="I6" s="18"/>
      <c r="J6" s="18"/>
    </row>
    <row r="7" spans="1:10" ht="23.1" customHeight="1">
      <c r="A7" s="18"/>
      <c r="B7" s="18"/>
      <c r="C7" s="18"/>
      <c r="D7" s="18"/>
      <c r="E7" s="18"/>
      <c r="F7" s="18"/>
      <c r="G7" s="18"/>
      <c r="H7" s="18"/>
      <c r="I7" s="18"/>
      <c r="J7" s="18"/>
    </row>
    <row r="9" spans="1:10" ht="27.95" customHeight="1">
      <c r="A9" s="36" t="s">
        <v>103</v>
      </c>
      <c r="B9" s="1"/>
      <c r="C9" s="1"/>
      <c r="D9" s="1"/>
      <c r="E9" s="1"/>
      <c r="F9" s="1"/>
      <c r="G9" s="1"/>
      <c r="H9" s="1"/>
      <c r="I9" s="1"/>
      <c r="J9" s="1"/>
    </row>
    <row r="10" spans="1:10" ht="54" customHeight="1">
      <c r="A10" s="18" t="s">
        <v>104</v>
      </c>
      <c r="B10" s="18"/>
      <c r="C10" s="18"/>
      <c r="D10" s="18"/>
      <c r="E10" s="18"/>
      <c r="F10" s="18"/>
      <c r="G10" s="18"/>
      <c r="H10" s="18"/>
      <c r="I10" s="18"/>
      <c r="J10" s="18"/>
    </row>
    <row r="11" spans="1:10" ht="23.1" customHeight="1">
      <c r="A11" s="18"/>
      <c r="B11" s="18"/>
      <c r="C11" s="18"/>
      <c r="D11" s="18"/>
      <c r="E11" s="18"/>
      <c r="F11" s="18"/>
      <c r="G11" s="18"/>
      <c r="H11" s="18"/>
      <c r="I11" s="18"/>
      <c r="J11" s="18"/>
    </row>
    <row r="12" spans="1:10" ht="23.1" customHeight="1">
      <c r="A12" s="18"/>
      <c r="B12" s="18"/>
      <c r="C12" s="18"/>
      <c r="D12" s="18"/>
      <c r="E12" s="18"/>
      <c r="F12" s="18"/>
      <c r="G12" s="18"/>
      <c r="H12" s="18"/>
      <c r="I12" s="18"/>
      <c r="J12" s="18"/>
    </row>
    <row r="14" spans="1:10" ht="27.95" customHeight="1">
      <c r="A14" s="36" t="s">
        <v>105</v>
      </c>
      <c r="B14" s="1"/>
      <c r="C14" s="1"/>
      <c r="D14" s="1"/>
      <c r="E14" s="1"/>
      <c r="F14" s="1"/>
      <c r="G14" s="1"/>
      <c r="H14" s="1"/>
      <c r="I14" s="1"/>
      <c r="J14" s="1"/>
    </row>
    <row r="15" spans="1:10" ht="54" customHeight="1">
      <c r="A15" s="18" t="s">
        <v>106</v>
      </c>
      <c r="B15" s="18"/>
      <c r="C15" s="18"/>
      <c r="D15" s="18"/>
      <c r="E15" s="18"/>
      <c r="F15" s="18"/>
      <c r="G15" s="18"/>
      <c r="H15" s="18"/>
      <c r="I15" s="18"/>
      <c r="J15" s="18"/>
    </row>
    <row r="16" spans="1:10" ht="23.1" customHeight="1">
      <c r="A16" s="18"/>
      <c r="B16" s="18"/>
      <c r="C16" s="18"/>
      <c r="D16" s="18"/>
      <c r="E16" s="18"/>
      <c r="F16" s="18"/>
      <c r="G16" s="18"/>
      <c r="H16" s="18"/>
      <c r="I16" s="18"/>
      <c r="J16" s="18"/>
    </row>
    <row r="17" spans="1:10" ht="23.1" customHeight="1">
      <c r="A17" s="18"/>
      <c r="B17" s="18"/>
      <c r="C17" s="18"/>
      <c r="D17" s="18"/>
      <c r="E17" s="18"/>
      <c r="F17" s="18"/>
      <c r="G17" s="18"/>
      <c r="H17" s="18"/>
      <c r="I17" s="18"/>
      <c r="J17" s="18"/>
    </row>
    <row r="19" spans="1:10" ht="27.95" customHeight="1">
      <c r="A19" s="36" t="s">
        <v>107</v>
      </c>
      <c r="B19" s="1"/>
      <c r="C19" s="1"/>
      <c r="D19" s="1"/>
      <c r="E19" s="1"/>
      <c r="F19" s="1"/>
      <c r="G19" s="1"/>
      <c r="H19" s="1"/>
      <c r="I19" s="1"/>
      <c r="J19" s="1"/>
    </row>
    <row r="20" spans="1:10" ht="54" customHeight="1">
      <c r="A20" s="18" t="s">
        <v>108</v>
      </c>
      <c r="B20" s="18"/>
      <c r="C20" s="18"/>
      <c r="D20" s="18"/>
      <c r="E20" s="18"/>
      <c r="F20" s="18"/>
      <c r="G20" s="18"/>
      <c r="H20" s="18"/>
      <c r="I20" s="18"/>
      <c r="J20" s="18"/>
    </row>
    <row r="21" spans="1:10" ht="23.1" customHeight="1">
      <c r="A21" s="18"/>
      <c r="B21" s="18"/>
      <c r="C21" s="18"/>
      <c r="D21" s="18"/>
      <c r="E21" s="18"/>
      <c r="F21" s="18"/>
      <c r="G21" s="18"/>
      <c r="H21" s="18"/>
      <c r="I21" s="18"/>
      <c r="J21" s="18"/>
    </row>
    <row r="22" spans="1:10" ht="23.1" customHeight="1">
      <c r="A22" s="18"/>
      <c r="B22" s="18"/>
      <c r="C22" s="18"/>
      <c r="D22" s="18"/>
      <c r="E22" s="18"/>
      <c r="F22" s="18"/>
      <c r="G22" s="18"/>
      <c r="H22" s="18"/>
      <c r="I22" s="18"/>
      <c r="J22" s="18"/>
    </row>
    <row r="24" spans="1:10" ht="27.95" customHeight="1">
      <c r="A24" s="36" t="s">
        <v>109</v>
      </c>
      <c r="B24" s="1"/>
      <c r="C24" s="1"/>
      <c r="D24" s="1"/>
      <c r="E24" s="1"/>
      <c r="F24" s="1"/>
      <c r="G24" s="1"/>
      <c r="H24" s="1"/>
      <c r="I24" s="1"/>
      <c r="J24" s="1"/>
    </row>
    <row r="25" spans="1:10" ht="54" customHeight="1">
      <c r="A25" s="18" t="s">
        <v>110</v>
      </c>
      <c r="B25" s="18"/>
      <c r="C25" s="18"/>
      <c r="D25" s="18"/>
      <c r="E25" s="18"/>
      <c r="F25" s="18"/>
      <c r="G25" s="18"/>
      <c r="H25" s="18"/>
      <c r="I25" s="18"/>
      <c r="J25" s="18"/>
    </row>
    <row r="26" spans="1:10" ht="23.1" customHeight="1">
      <c r="A26" s="18"/>
      <c r="B26" s="18"/>
      <c r="C26" s="18"/>
      <c r="D26" s="18"/>
      <c r="E26" s="18"/>
      <c r="F26" s="18"/>
      <c r="G26" s="18"/>
      <c r="H26" s="18"/>
      <c r="I26" s="18"/>
      <c r="J26" s="18"/>
    </row>
    <row r="27" spans="1:10" ht="23.1" customHeight="1">
      <c r="A27" s="18"/>
      <c r="B27" s="18"/>
      <c r="C27" s="18"/>
      <c r="D27" s="18"/>
      <c r="E27" s="18"/>
      <c r="F27" s="18"/>
      <c r="G27" s="18"/>
      <c r="H27" s="18"/>
      <c r="I27" s="18"/>
      <c r="J27" s="18"/>
    </row>
    <row r="29" spans="1:10" ht="27.95" customHeight="1">
      <c r="A29" s="36" t="s">
        <v>111</v>
      </c>
      <c r="B29" s="1"/>
      <c r="C29" s="1"/>
      <c r="D29" s="1"/>
      <c r="E29" s="1"/>
      <c r="F29" s="1"/>
      <c r="G29" s="1"/>
      <c r="H29" s="1"/>
      <c r="I29" s="1"/>
      <c r="J29" s="1"/>
    </row>
    <row r="30" spans="1:10" ht="54" customHeight="1">
      <c r="A30" s="18" t="s">
        <v>112</v>
      </c>
      <c r="B30" s="18"/>
      <c r="C30" s="18"/>
      <c r="D30" s="18"/>
      <c r="E30" s="18"/>
      <c r="F30" s="18"/>
      <c r="G30" s="18"/>
      <c r="H30" s="18"/>
      <c r="I30" s="18"/>
      <c r="J30" s="18"/>
    </row>
    <row r="31" spans="1:10" ht="23.1" customHeight="1">
      <c r="A31" s="18"/>
      <c r="B31" s="18"/>
      <c r="C31" s="18"/>
      <c r="D31" s="18"/>
      <c r="E31" s="18"/>
      <c r="F31" s="18"/>
      <c r="G31" s="18"/>
      <c r="H31" s="18"/>
      <c r="I31" s="18"/>
      <c r="J31" s="18"/>
    </row>
    <row r="32" spans="1:10" ht="23.1" customHeight="1">
      <c r="A32" s="18"/>
      <c r="B32" s="18"/>
      <c r="C32" s="18"/>
      <c r="D32" s="18"/>
      <c r="E32" s="18"/>
      <c r="F32" s="18"/>
      <c r="G32" s="18"/>
      <c r="H32" s="18"/>
      <c r="I32" s="18"/>
      <c r="J32" s="18"/>
    </row>
    <row r="34" spans="1:10" ht="27.95" customHeight="1">
      <c r="A34" s="36" t="s">
        <v>113</v>
      </c>
      <c r="B34" s="1"/>
      <c r="C34" s="1"/>
      <c r="D34" s="1"/>
      <c r="E34" s="1"/>
      <c r="F34" s="1"/>
      <c r="G34" s="1"/>
      <c r="H34" s="1"/>
      <c r="I34" s="1"/>
      <c r="J34" s="1"/>
    </row>
    <row r="35" spans="1:10" ht="54" customHeight="1">
      <c r="A35" s="18" t="s">
        <v>114</v>
      </c>
      <c r="B35" s="18"/>
      <c r="C35" s="18"/>
      <c r="D35" s="18"/>
      <c r="E35" s="18"/>
      <c r="F35" s="18"/>
      <c r="G35" s="18"/>
      <c r="H35" s="18"/>
      <c r="I35" s="18"/>
      <c r="J35" s="18"/>
    </row>
    <row r="36" spans="1:10" ht="23.1" customHeight="1">
      <c r="A36" s="18"/>
      <c r="B36" s="18"/>
      <c r="C36" s="18"/>
      <c r="D36" s="18"/>
      <c r="E36" s="18"/>
      <c r="F36" s="18"/>
      <c r="G36" s="18"/>
      <c r="H36" s="18"/>
      <c r="I36" s="18"/>
      <c r="J36" s="18"/>
    </row>
    <row r="37" spans="1:10" ht="23.1" customHeight="1">
      <c r="A37" s="18"/>
      <c r="B37" s="18"/>
      <c r="C37" s="18"/>
      <c r="D37" s="18"/>
      <c r="E37" s="18"/>
      <c r="F37" s="18"/>
      <c r="G37" s="18"/>
      <c r="H37" s="18"/>
      <c r="I37" s="18"/>
      <c r="J37" s="18"/>
    </row>
    <row r="39" spans="1:10" ht="27.95" customHeight="1">
      <c r="A39" s="36" t="s">
        <v>115</v>
      </c>
      <c r="B39" s="1"/>
      <c r="C39" s="1"/>
      <c r="D39" s="1"/>
      <c r="E39" s="1"/>
      <c r="F39" s="1"/>
      <c r="G39" s="1"/>
      <c r="H39" s="1"/>
      <c r="I39" s="1"/>
      <c r="J39" s="1"/>
    </row>
    <row r="40" spans="1:10" ht="54" customHeight="1">
      <c r="A40" s="18" t="s">
        <v>116</v>
      </c>
      <c r="B40" s="18"/>
      <c r="C40" s="18"/>
      <c r="D40" s="18"/>
      <c r="E40" s="18"/>
      <c r="F40" s="18"/>
      <c r="G40" s="18"/>
      <c r="H40" s="18"/>
      <c r="I40" s="18"/>
      <c r="J40" s="18"/>
    </row>
    <row r="41" spans="1:10" ht="23.1" customHeight="1">
      <c r="A41" s="18"/>
      <c r="B41" s="18"/>
      <c r="C41" s="18"/>
      <c r="D41" s="18"/>
      <c r="E41" s="18"/>
      <c r="F41" s="18"/>
      <c r="G41" s="18"/>
      <c r="H41" s="18"/>
      <c r="I41" s="18"/>
      <c r="J41" s="18"/>
    </row>
    <row r="42" spans="1:10" ht="33.950000000000003" customHeight="1">
      <c r="A42" s="39" t="s">
        <v>117</v>
      </c>
      <c r="B42" s="38"/>
      <c r="C42" s="38"/>
      <c r="D42" s="38"/>
      <c r="E42" s="38"/>
      <c r="F42" s="38"/>
      <c r="G42" s="38"/>
      <c r="H42" s="38"/>
      <c r="I42" s="38"/>
      <c r="J42" s="38"/>
    </row>
    <row r="43" spans="1:10">
      <c r="A43" s="40" t="s">
        <v>118</v>
      </c>
    </row>
    <row r="44" spans="1:10">
      <c r="A44" s="41" t="s">
        <v>119</v>
      </c>
    </row>
    <row r="45" spans="1:10">
      <c r="A45" s="42" t="s">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01"/>
  <sheetViews>
    <sheetView workbookViewId="0">
      <pane ySplit="1" topLeftCell="A2" activePane="bottomLeft" state="frozen"/>
      <selection pane="bottomLeft" activeCell="Q7" sqref="Q7"/>
    </sheetView>
  </sheetViews>
  <sheetFormatPr defaultRowHeight="14.25"/>
  <cols>
    <col min="1" max="1" width="11.5" style="24" customWidth="1"/>
    <col min="2" max="2" width="28" customWidth="1"/>
    <col min="3" max="3" width="40" customWidth="1"/>
    <col min="4" max="4" width="20" customWidth="1"/>
    <col min="5" max="5" width="22" customWidth="1"/>
    <col min="6" max="6" width="37" customWidth="1"/>
    <col min="7" max="7" width="23" customWidth="1"/>
    <col min="8" max="8" width="11.375" style="24" bestFit="1" customWidth="1"/>
    <col min="9" max="9" width="25" customWidth="1"/>
    <col min="10" max="10" width="45" customWidth="1"/>
    <col min="11" max="11" width="18" customWidth="1"/>
    <col min="12" max="12" width="18.5" customWidth="1"/>
    <col min="13" max="13" width="15.25" customWidth="1"/>
    <col min="14" max="14" width="16.375" customWidth="1"/>
    <col min="15" max="15" width="17.375" customWidth="1"/>
    <col min="16" max="16" width="22" customWidth="1"/>
    <col min="17" max="17" width="16" customWidth="1"/>
    <col min="18" max="18" width="16.875" customWidth="1"/>
    <col min="19" max="19" width="13.625" customWidth="1"/>
    <col min="20" max="20" width="19" customWidth="1"/>
  </cols>
  <sheetData>
    <row r="1" spans="1:20" ht="41.1" customHeight="1">
      <c r="A1" s="23" t="s">
        <v>0</v>
      </c>
      <c r="B1" s="4" t="s">
        <v>1</v>
      </c>
      <c r="C1" s="4" t="s">
        <v>2</v>
      </c>
      <c r="D1" s="4" t="s">
        <v>3</v>
      </c>
      <c r="E1" s="4" t="s">
        <v>4</v>
      </c>
      <c r="F1" s="4" t="s">
        <v>5</v>
      </c>
      <c r="G1" s="4" t="s">
        <v>6</v>
      </c>
      <c r="H1" s="23" t="s">
        <v>7</v>
      </c>
      <c r="I1" s="4" t="s">
        <v>8</v>
      </c>
      <c r="J1" s="4" t="s">
        <v>9</v>
      </c>
      <c r="K1" s="4" t="s">
        <v>10</v>
      </c>
      <c r="L1" s="4" t="s">
        <v>11</v>
      </c>
      <c r="M1" s="4" t="s">
        <v>12</v>
      </c>
      <c r="N1" s="4" t="s">
        <v>13</v>
      </c>
      <c r="O1" s="4" t="s">
        <v>14</v>
      </c>
      <c r="P1" s="4" t="s">
        <v>15</v>
      </c>
      <c r="Q1" s="4" t="s">
        <v>16</v>
      </c>
      <c r="R1" s="4" t="s">
        <v>17</v>
      </c>
      <c r="S1" s="4" t="s">
        <v>51</v>
      </c>
      <c r="T1" s="4"/>
    </row>
    <row r="2" spans="1:20">
      <c r="A2" s="30">
        <v>46300</v>
      </c>
      <c r="B2" t="s">
        <v>143</v>
      </c>
      <c r="C2" t="s">
        <v>146</v>
      </c>
      <c r="D2" t="s">
        <v>76</v>
      </c>
      <c r="E2" t="s">
        <v>76</v>
      </c>
      <c r="G2" t="s">
        <v>30</v>
      </c>
      <c r="H2" s="30"/>
      <c r="K2" s="31">
        <f t="shared" ref="K2:K65" si="0">IF(OR(A2="",B2=""),"",A2-WEEKDAY(A2,2)+1)</f>
        <v>46300</v>
      </c>
      <c r="L2" t="s">
        <v>148</v>
      </c>
      <c r="M2" t="s">
        <v>152</v>
      </c>
      <c r="N2" t="s">
        <v>61</v>
      </c>
      <c r="O2" t="s">
        <v>62</v>
      </c>
      <c r="P2" t="s">
        <v>63</v>
      </c>
      <c r="Q2" t="s">
        <v>56</v>
      </c>
      <c r="S2" s="2" t="s">
        <v>134</v>
      </c>
      <c r="T2" s="6"/>
    </row>
    <row r="3" spans="1:20">
      <c r="A3" s="30">
        <v>46301</v>
      </c>
      <c r="B3" t="s">
        <v>144</v>
      </c>
      <c r="C3" t="s">
        <v>145</v>
      </c>
      <c r="D3" t="s">
        <v>54</v>
      </c>
      <c r="E3" t="s">
        <v>89</v>
      </c>
      <c r="G3" t="s">
        <v>88</v>
      </c>
      <c r="H3" s="30">
        <v>46305</v>
      </c>
      <c r="K3" s="31">
        <f t="shared" si="0"/>
        <v>46300</v>
      </c>
      <c r="L3" t="s">
        <v>147</v>
      </c>
      <c r="M3" t="s">
        <v>153</v>
      </c>
      <c r="N3" t="s">
        <v>69</v>
      </c>
      <c r="O3" t="s">
        <v>70</v>
      </c>
      <c r="P3" t="s">
        <v>71</v>
      </c>
      <c r="S3" s="2" t="s">
        <v>133</v>
      </c>
      <c r="T3" s="6"/>
    </row>
    <row r="4" spans="1:20">
      <c r="A4" s="30"/>
      <c r="H4" s="30"/>
      <c r="K4" s="31" t="str">
        <f t="shared" si="0"/>
        <v/>
      </c>
      <c r="S4" s="2"/>
      <c r="T4" s="6"/>
    </row>
    <row r="5" spans="1:20">
      <c r="A5" s="30"/>
      <c r="H5" s="30"/>
      <c r="K5" s="31" t="str">
        <f t="shared" si="0"/>
        <v/>
      </c>
      <c r="S5" s="2"/>
      <c r="T5" s="6"/>
    </row>
    <row r="6" spans="1:20">
      <c r="A6" s="30"/>
      <c r="H6" s="30"/>
      <c r="K6" s="31" t="str">
        <f t="shared" si="0"/>
        <v/>
      </c>
      <c r="S6" s="2"/>
      <c r="T6" s="6"/>
    </row>
    <row r="7" spans="1:20">
      <c r="A7" s="30"/>
      <c r="H7" s="30"/>
      <c r="K7" s="31" t="str">
        <f t="shared" si="0"/>
        <v/>
      </c>
      <c r="S7" s="2"/>
      <c r="T7" s="6"/>
    </row>
    <row r="8" spans="1:20">
      <c r="A8" s="30"/>
      <c r="H8" s="30"/>
      <c r="K8" s="31" t="str">
        <f t="shared" si="0"/>
        <v/>
      </c>
      <c r="S8" s="2"/>
      <c r="T8" s="6"/>
    </row>
    <row r="9" spans="1:20">
      <c r="A9" s="30"/>
      <c r="H9" s="30"/>
      <c r="K9" s="31" t="str">
        <f t="shared" si="0"/>
        <v/>
      </c>
      <c r="S9" s="2"/>
      <c r="T9" s="6"/>
    </row>
    <row r="10" spans="1:20">
      <c r="A10" s="30"/>
      <c r="H10" s="30"/>
      <c r="K10" s="31" t="str">
        <f t="shared" si="0"/>
        <v/>
      </c>
      <c r="S10" s="2"/>
      <c r="T10" s="6"/>
    </row>
    <row r="11" spans="1:20">
      <c r="A11" s="30"/>
      <c r="H11" s="30"/>
      <c r="K11" s="31" t="str">
        <f t="shared" si="0"/>
        <v/>
      </c>
      <c r="S11" s="2"/>
      <c r="T11" s="6"/>
    </row>
    <row r="12" spans="1:20">
      <c r="A12" s="30"/>
      <c r="H12" s="30"/>
      <c r="K12" s="31" t="str">
        <f t="shared" si="0"/>
        <v/>
      </c>
      <c r="S12" s="2"/>
      <c r="T12" s="6"/>
    </row>
    <row r="13" spans="1:20">
      <c r="A13" s="30"/>
      <c r="H13" s="30"/>
      <c r="K13" s="31" t="str">
        <f t="shared" si="0"/>
        <v/>
      </c>
      <c r="S13" s="2"/>
      <c r="T13" s="6"/>
    </row>
    <row r="14" spans="1:20">
      <c r="A14" s="30"/>
      <c r="H14" s="30"/>
      <c r="K14" s="31" t="str">
        <f t="shared" si="0"/>
        <v/>
      </c>
      <c r="S14" s="2"/>
      <c r="T14" s="6"/>
    </row>
    <row r="15" spans="1:20">
      <c r="A15" s="30"/>
      <c r="H15" s="30"/>
      <c r="K15" s="31" t="str">
        <f t="shared" si="0"/>
        <v/>
      </c>
      <c r="S15" s="2"/>
      <c r="T15" s="6"/>
    </row>
    <row r="16" spans="1:20">
      <c r="A16" s="30"/>
      <c r="H16" s="30"/>
      <c r="K16" s="31" t="str">
        <f t="shared" si="0"/>
        <v/>
      </c>
      <c r="S16" s="2"/>
      <c r="T16" s="6"/>
    </row>
    <row r="17" spans="1:20">
      <c r="A17" s="30"/>
      <c r="H17" s="30"/>
      <c r="K17" s="31" t="str">
        <f t="shared" si="0"/>
        <v/>
      </c>
      <c r="S17" s="2"/>
      <c r="T17" s="6"/>
    </row>
    <row r="18" spans="1:20">
      <c r="A18" s="30"/>
      <c r="H18" s="30"/>
      <c r="K18" s="31" t="str">
        <f t="shared" si="0"/>
        <v/>
      </c>
      <c r="S18" s="2"/>
      <c r="T18" s="6"/>
    </row>
    <row r="19" spans="1:20">
      <c r="A19" s="30"/>
      <c r="H19" s="30"/>
      <c r="K19" s="31" t="str">
        <f t="shared" si="0"/>
        <v/>
      </c>
      <c r="S19" s="2"/>
      <c r="T19" s="6"/>
    </row>
    <row r="20" spans="1:20">
      <c r="A20" s="30"/>
      <c r="H20" s="30"/>
      <c r="K20" s="31" t="str">
        <f t="shared" si="0"/>
        <v/>
      </c>
      <c r="S20" s="2"/>
      <c r="T20" s="6"/>
    </row>
    <row r="21" spans="1:20">
      <c r="A21" s="30"/>
      <c r="H21" s="30"/>
      <c r="K21" s="31" t="str">
        <f t="shared" si="0"/>
        <v/>
      </c>
      <c r="S21" s="2"/>
      <c r="T21" s="6"/>
    </row>
    <row r="22" spans="1:20">
      <c r="A22" s="30"/>
      <c r="H22" s="30"/>
      <c r="K22" s="31" t="str">
        <f t="shared" si="0"/>
        <v/>
      </c>
      <c r="S22" s="2"/>
      <c r="T22" s="6"/>
    </row>
    <row r="23" spans="1:20">
      <c r="A23" s="30"/>
      <c r="H23" s="30"/>
      <c r="K23" s="31" t="str">
        <f t="shared" si="0"/>
        <v/>
      </c>
      <c r="S23" s="2"/>
      <c r="T23" s="6"/>
    </row>
    <row r="24" spans="1:20">
      <c r="A24" s="30"/>
      <c r="H24" s="30"/>
      <c r="K24" s="31" t="str">
        <f t="shared" si="0"/>
        <v/>
      </c>
      <c r="S24" s="2"/>
      <c r="T24" s="6"/>
    </row>
    <row r="25" spans="1:20">
      <c r="A25" s="30"/>
      <c r="H25" s="30"/>
      <c r="K25" s="31" t="str">
        <f t="shared" si="0"/>
        <v/>
      </c>
      <c r="S25" s="2"/>
      <c r="T25" s="6"/>
    </row>
    <row r="26" spans="1:20">
      <c r="A26" s="30"/>
      <c r="H26" s="30"/>
      <c r="K26" s="31" t="str">
        <f t="shared" si="0"/>
        <v/>
      </c>
      <c r="S26" s="2"/>
      <c r="T26" s="6"/>
    </row>
    <row r="27" spans="1:20">
      <c r="A27" s="30"/>
      <c r="H27" s="30"/>
      <c r="K27" s="31" t="str">
        <f t="shared" si="0"/>
        <v/>
      </c>
      <c r="S27" s="2"/>
      <c r="T27" s="6"/>
    </row>
    <row r="28" spans="1:20">
      <c r="A28" s="30"/>
      <c r="H28" s="30"/>
      <c r="K28" s="31" t="str">
        <f t="shared" si="0"/>
        <v/>
      </c>
      <c r="S28" s="2"/>
      <c r="T28" s="6"/>
    </row>
    <row r="29" spans="1:20">
      <c r="A29" s="30"/>
      <c r="H29" s="30"/>
      <c r="K29" s="31" t="str">
        <f t="shared" si="0"/>
        <v/>
      </c>
      <c r="S29" s="2"/>
      <c r="T29" s="6"/>
    </row>
    <row r="30" spans="1:20">
      <c r="A30" s="30"/>
      <c r="H30" s="30"/>
      <c r="K30" s="31" t="str">
        <f t="shared" si="0"/>
        <v/>
      </c>
      <c r="S30" s="2"/>
      <c r="T30" s="6"/>
    </row>
    <row r="31" spans="1:20">
      <c r="A31" s="30"/>
      <c r="H31" s="30"/>
      <c r="K31" s="31" t="str">
        <f t="shared" si="0"/>
        <v/>
      </c>
      <c r="S31" s="2"/>
      <c r="T31" s="6"/>
    </row>
    <row r="32" spans="1:20">
      <c r="A32" s="30"/>
      <c r="H32" s="30"/>
      <c r="K32" s="31" t="str">
        <f t="shared" si="0"/>
        <v/>
      </c>
      <c r="S32" s="2"/>
      <c r="T32" s="6"/>
    </row>
    <row r="33" spans="1:20">
      <c r="A33" s="30"/>
      <c r="H33" s="30"/>
      <c r="K33" s="31" t="str">
        <f t="shared" si="0"/>
        <v/>
      </c>
      <c r="S33" s="2"/>
      <c r="T33" s="6"/>
    </row>
    <row r="34" spans="1:20">
      <c r="A34" s="30"/>
      <c r="H34" s="30"/>
      <c r="K34" s="31" t="str">
        <f t="shared" si="0"/>
        <v/>
      </c>
      <c r="S34" s="2"/>
      <c r="T34" s="6"/>
    </row>
    <row r="35" spans="1:20">
      <c r="A35" s="30"/>
      <c r="H35" s="30"/>
      <c r="K35" s="31" t="str">
        <f t="shared" si="0"/>
        <v/>
      </c>
      <c r="S35" s="2"/>
      <c r="T35" s="6"/>
    </row>
    <row r="36" spans="1:20">
      <c r="A36" s="30"/>
      <c r="H36" s="30"/>
      <c r="K36" s="31" t="str">
        <f t="shared" si="0"/>
        <v/>
      </c>
      <c r="S36" s="2"/>
      <c r="T36" s="6"/>
    </row>
    <row r="37" spans="1:20">
      <c r="A37" s="30"/>
      <c r="H37" s="30"/>
      <c r="K37" s="31" t="str">
        <f t="shared" si="0"/>
        <v/>
      </c>
      <c r="S37" s="2"/>
      <c r="T37" s="6"/>
    </row>
    <row r="38" spans="1:20">
      <c r="A38" s="30"/>
      <c r="H38" s="30"/>
      <c r="K38" s="31" t="str">
        <f t="shared" si="0"/>
        <v/>
      </c>
      <c r="S38" s="2"/>
      <c r="T38" s="6"/>
    </row>
    <row r="39" spans="1:20">
      <c r="A39" s="30"/>
      <c r="H39" s="30"/>
      <c r="K39" s="31" t="str">
        <f t="shared" si="0"/>
        <v/>
      </c>
      <c r="S39" s="2"/>
      <c r="T39" s="6"/>
    </row>
    <row r="40" spans="1:20">
      <c r="A40" s="30"/>
      <c r="H40" s="30"/>
      <c r="K40" s="31" t="str">
        <f t="shared" si="0"/>
        <v/>
      </c>
      <c r="S40" s="2"/>
      <c r="T40" s="6"/>
    </row>
    <row r="41" spans="1:20">
      <c r="A41" s="30"/>
      <c r="H41" s="30"/>
      <c r="K41" s="31" t="str">
        <f t="shared" si="0"/>
        <v/>
      </c>
      <c r="S41" s="2"/>
      <c r="T41" s="6"/>
    </row>
    <row r="42" spans="1:20">
      <c r="A42" s="30"/>
      <c r="H42" s="30"/>
      <c r="K42" s="31" t="str">
        <f t="shared" si="0"/>
        <v/>
      </c>
      <c r="S42" s="2"/>
      <c r="T42" s="6"/>
    </row>
    <row r="43" spans="1:20">
      <c r="A43" s="30"/>
      <c r="H43" s="30"/>
      <c r="K43" s="31" t="str">
        <f t="shared" si="0"/>
        <v/>
      </c>
      <c r="S43" s="2"/>
      <c r="T43" s="6"/>
    </row>
    <row r="44" spans="1:20">
      <c r="A44" s="30"/>
      <c r="H44" s="30"/>
      <c r="K44" s="31" t="str">
        <f t="shared" si="0"/>
        <v/>
      </c>
      <c r="S44" s="2"/>
      <c r="T44" s="6"/>
    </row>
    <row r="45" spans="1:20">
      <c r="A45" s="30"/>
      <c r="H45" s="30"/>
      <c r="K45" s="31" t="str">
        <f t="shared" si="0"/>
        <v/>
      </c>
      <c r="S45" s="2"/>
      <c r="T45" s="6"/>
    </row>
    <row r="46" spans="1:20">
      <c r="A46" s="30"/>
      <c r="H46" s="30"/>
      <c r="K46" s="31" t="str">
        <f t="shared" si="0"/>
        <v/>
      </c>
      <c r="S46" s="2"/>
      <c r="T46" s="6"/>
    </row>
    <row r="47" spans="1:20">
      <c r="A47" s="30"/>
      <c r="H47" s="30"/>
      <c r="K47" s="31" t="str">
        <f t="shared" si="0"/>
        <v/>
      </c>
      <c r="S47" s="2"/>
      <c r="T47" s="6"/>
    </row>
    <row r="48" spans="1:20">
      <c r="A48" s="30"/>
      <c r="H48" s="30"/>
      <c r="K48" s="31" t="str">
        <f t="shared" si="0"/>
        <v/>
      </c>
      <c r="S48" s="2"/>
      <c r="T48" s="6"/>
    </row>
    <row r="49" spans="1:20">
      <c r="A49" s="30"/>
      <c r="H49" s="30"/>
      <c r="K49" s="31" t="str">
        <f t="shared" si="0"/>
        <v/>
      </c>
      <c r="S49" s="2"/>
      <c r="T49" s="6"/>
    </row>
    <row r="50" spans="1:20">
      <c r="A50" s="30"/>
      <c r="H50" s="30"/>
      <c r="K50" s="31" t="str">
        <f t="shared" si="0"/>
        <v/>
      </c>
      <c r="S50" s="2"/>
      <c r="T50" s="6"/>
    </row>
    <row r="51" spans="1:20">
      <c r="A51" s="30"/>
      <c r="H51" s="30"/>
      <c r="K51" s="31" t="str">
        <f t="shared" si="0"/>
        <v/>
      </c>
      <c r="S51" s="2"/>
      <c r="T51" s="6"/>
    </row>
    <row r="52" spans="1:20">
      <c r="A52" s="30"/>
      <c r="H52" s="30"/>
      <c r="K52" s="31" t="str">
        <f t="shared" si="0"/>
        <v/>
      </c>
      <c r="S52" s="2"/>
      <c r="T52" s="6"/>
    </row>
    <row r="53" spans="1:20">
      <c r="A53" s="30"/>
      <c r="H53" s="30"/>
      <c r="K53" s="31" t="str">
        <f t="shared" si="0"/>
        <v/>
      </c>
      <c r="S53" s="2"/>
      <c r="T53" s="6"/>
    </row>
    <row r="54" spans="1:20">
      <c r="A54" s="30"/>
      <c r="H54" s="30"/>
      <c r="K54" s="31" t="str">
        <f t="shared" si="0"/>
        <v/>
      </c>
      <c r="S54" s="2"/>
      <c r="T54" s="6"/>
    </row>
    <row r="55" spans="1:20">
      <c r="A55" s="30"/>
      <c r="H55" s="30"/>
      <c r="K55" s="31" t="str">
        <f t="shared" si="0"/>
        <v/>
      </c>
      <c r="S55" s="2"/>
      <c r="T55" s="6"/>
    </row>
    <row r="56" spans="1:20">
      <c r="A56" s="30"/>
      <c r="H56" s="30"/>
      <c r="K56" s="31" t="str">
        <f t="shared" si="0"/>
        <v/>
      </c>
      <c r="S56" s="2"/>
      <c r="T56" s="6"/>
    </row>
    <row r="57" spans="1:20">
      <c r="A57" s="30"/>
      <c r="H57" s="30"/>
      <c r="K57" s="31" t="str">
        <f t="shared" si="0"/>
        <v/>
      </c>
      <c r="S57" s="2"/>
      <c r="T57" s="6"/>
    </row>
    <row r="58" spans="1:20">
      <c r="A58" s="30"/>
      <c r="H58" s="30"/>
      <c r="K58" s="31" t="str">
        <f t="shared" si="0"/>
        <v/>
      </c>
      <c r="S58" s="2"/>
      <c r="T58" s="6"/>
    </row>
    <row r="59" spans="1:20">
      <c r="A59" s="30"/>
      <c r="H59" s="30"/>
      <c r="K59" s="31" t="str">
        <f t="shared" si="0"/>
        <v/>
      </c>
      <c r="S59" s="2"/>
      <c r="T59" s="6"/>
    </row>
    <row r="60" spans="1:20">
      <c r="A60" s="30"/>
      <c r="H60" s="30"/>
      <c r="K60" s="31" t="str">
        <f t="shared" si="0"/>
        <v/>
      </c>
      <c r="S60" s="2"/>
      <c r="T60" s="6"/>
    </row>
    <row r="61" spans="1:20">
      <c r="A61" s="30"/>
      <c r="H61" s="30"/>
      <c r="K61" s="31" t="str">
        <f t="shared" si="0"/>
        <v/>
      </c>
      <c r="S61" s="2"/>
      <c r="T61" s="6"/>
    </row>
    <row r="62" spans="1:20">
      <c r="A62" s="30"/>
      <c r="H62" s="30"/>
      <c r="K62" s="31" t="str">
        <f t="shared" si="0"/>
        <v/>
      </c>
      <c r="S62" s="2"/>
      <c r="T62" s="6"/>
    </row>
    <row r="63" spans="1:20">
      <c r="A63" s="30"/>
      <c r="H63" s="30"/>
      <c r="K63" s="31" t="str">
        <f t="shared" si="0"/>
        <v/>
      </c>
      <c r="S63" s="2"/>
      <c r="T63" s="6"/>
    </row>
    <row r="64" spans="1:20">
      <c r="A64" s="30"/>
      <c r="H64" s="30"/>
      <c r="K64" s="31" t="str">
        <f t="shared" si="0"/>
        <v/>
      </c>
      <c r="S64" s="2"/>
      <c r="T64" s="6"/>
    </row>
    <row r="65" spans="1:20">
      <c r="A65" s="30"/>
      <c r="H65" s="30"/>
      <c r="K65" s="31" t="str">
        <f t="shared" si="0"/>
        <v/>
      </c>
      <c r="S65" s="2"/>
      <c r="T65" s="6"/>
    </row>
    <row r="66" spans="1:20">
      <c r="A66" s="30"/>
      <c r="H66" s="30"/>
      <c r="K66" s="31" t="str">
        <f t="shared" ref="K66:K129" si="1">IF(OR(A66="",B66=""),"",A66-WEEKDAY(A66,2)+1)</f>
        <v/>
      </c>
      <c r="S66" s="2"/>
      <c r="T66" s="6"/>
    </row>
    <row r="67" spans="1:20">
      <c r="A67" s="30"/>
      <c r="H67" s="30"/>
      <c r="K67" s="31" t="str">
        <f t="shared" si="1"/>
        <v/>
      </c>
      <c r="S67" s="2"/>
      <c r="T67" s="6"/>
    </row>
    <row r="68" spans="1:20">
      <c r="A68" s="30"/>
      <c r="H68" s="30"/>
      <c r="K68" s="31" t="str">
        <f t="shared" si="1"/>
        <v/>
      </c>
      <c r="S68" s="2"/>
      <c r="T68" s="6"/>
    </row>
    <row r="69" spans="1:20">
      <c r="A69" s="30"/>
      <c r="H69" s="30"/>
      <c r="K69" s="31" t="str">
        <f t="shared" si="1"/>
        <v/>
      </c>
      <c r="S69" s="2"/>
      <c r="T69" s="6"/>
    </row>
    <row r="70" spans="1:20">
      <c r="A70" s="30"/>
      <c r="H70" s="30"/>
      <c r="K70" s="31" t="str">
        <f t="shared" si="1"/>
        <v/>
      </c>
      <c r="S70" s="2"/>
      <c r="T70" s="6"/>
    </row>
    <row r="71" spans="1:20">
      <c r="A71" s="30"/>
      <c r="H71" s="30"/>
      <c r="K71" s="31" t="str">
        <f t="shared" si="1"/>
        <v/>
      </c>
      <c r="S71" s="2"/>
      <c r="T71" s="6"/>
    </row>
    <row r="72" spans="1:20">
      <c r="A72" s="30"/>
      <c r="H72" s="30"/>
      <c r="K72" s="31" t="str">
        <f t="shared" si="1"/>
        <v/>
      </c>
      <c r="S72" s="2"/>
      <c r="T72" s="6"/>
    </row>
    <row r="73" spans="1:20">
      <c r="A73" s="30"/>
      <c r="H73" s="30"/>
      <c r="K73" s="31" t="str">
        <f t="shared" si="1"/>
        <v/>
      </c>
      <c r="S73" s="2"/>
      <c r="T73" s="6"/>
    </row>
    <row r="74" spans="1:20">
      <c r="A74" s="30"/>
      <c r="H74" s="30"/>
      <c r="K74" s="31" t="str">
        <f t="shared" si="1"/>
        <v/>
      </c>
      <c r="S74" s="2"/>
      <c r="T74" s="6"/>
    </row>
    <row r="75" spans="1:20">
      <c r="A75" s="30"/>
      <c r="H75" s="30"/>
      <c r="K75" s="31" t="str">
        <f t="shared" si="1"/>
        <v/>
      </c>
      <c r="S75" s="2"/>
      <c r="T75" s="6"/>
    </row>
    <row r="76" spans="1:20">
      <c r="A76" s="30"/>
      <c r="H76" s="30"/>
      <c r="K76" s="31" t="str">
        <f t="shared" si="1"/>
        <v/>
      </c>
      <c r="S76" s="2"/>
      <c r="T76" s="6"/>
    </row>
    <row r="77" spans="1:20">
      <c r="A77" s="30"/>
      <c r="H77" s="30"/>
      <c r="K77" s="31" t="str">
        <f t="shared" si="1"/>
        <v/>
      </c>
      <c r="S77" s="2"/>
      <c r="T77" s="6"/>
    </row>
    <row r="78" spans="1:20">
      <c r="A78" s="30"/>
      <c r="H78" s="30"/>
      <c r="K78" s="31" t="str">
        <f t="shared" si="1"/>
        <v/>
      </c>
      <c r="S78" s="2"/>
      <c r="T78" s="6"/>
    </row>
    <row r="79" spans="1:20">
      <c r="A79" s="30"/>
      <c r="H79" s="30"/>
      <c r="K79" s="31" t="str">
        <f t="shared" si="1"/>
        <v/>
      </c>
      <c r="S79" s="2"/>
      <c r="T79" s="6"/>
    </row>
    <row r="80" spans="1:20">
      <c r="A80" s="30"/>
      <c r="H80" s="30"/>
      <c r="K80" s="31" t="str">
        <f t="shared" si="1"/>
        <v/>
      </c>
      <c r="S80" s="2"/>
      <c r="T80" s="6"/>
    </row>
    <row r="81" spans="1:20">
      <c r="A81" s="30"/>
      <c r="H81" s="30"/>
      <c r="K81" s="31" t="str">
        <f t="shared" si="1"/>
        <v/>
      </c>
      <c r="S81" s="2"/>
      <c r="T81" s="6"/>
    </row>
    <row r="82" spans="1:20">
      <c r="A82" s="30"/>
      <c r="H82" s="30"/>
      <c r="K82" s="31" t="str">
        <f t="shared" si="1"/>
        <v/>
      </c>
      <c r="S82" s="2"/>
      <c r="T82" s="6"/>
    </row>
    <row r="83" spans="1:20">
      <c r="A83" s="30"/>
      <c r="H83" s="30"/>
      <c r="K83" s="31" t="str">
        <f t="shared" si="1"/>
        <v/>
      </c>
      <c r="S83" s="2"/>
      <c r="T83" s="6"/>
    </row>
    <row r="84" spans="1:20">
      <c r="A84" s="30"/>
      <c r="H84" s="30"/>
      <c r="K84" s="31" t="str">
        <f t="shared" si="1"/>
        <v/>
      </c>
      <c r="S84" s="2"/>
      <c r="T84" s="6"/>
    </row>
    <row r="85" spans="1:20">
      <c r="A85" s="30"/>
      <c r="H85" s="30"/>
      <c r="K85" s="31" t="str">
        <f t="shared" si="1"/>
        <v/>
      </c>
      <c r="S85" s="2"/>
      <c r="T85" s="6"/>
    </row>
    <row r="86" spans="1:20">
      <c r="A86" s="30"/>
      <c r="H86" s="30"/>
      <c r="K86" s="31" t="str">
        <f t="shared" si="1"/>
        <v/>
      </c>
      <c r="S86" s="2"/>
      <c r="T86" s="6"/>
    </row>
    <row r="87" spans="1:20">
      <c r="A87" s="30"/>
      <c r="H87" s="30"/>
      <c r="K87" s="31" t="str">
        <f t="shared" si="1"/>
        <v/>
      </c>
      <c r="S87" s="2"/>
      <c r="T87" s="6"/>
    </row>
    <row r="88" spans="1:20">
      <c r="A88" s="30"/>
      <c r="H88" s="30"/>
      <c r="K88" s="31" t="str">
        <f t="shared" si="1"/>
        <v/>
      </c>
      <c r="S88" s="2"/>
      <c r="T88" s="6"/>
    </row>
    <row r="89" spans="1:20">
      <c r="A89" s="30"/>
      <c r="H89" s="30"/>
      <c r="K89" s="31" t="str">
        <f t="shared" si="1"/>
        <v/>
      </c>
      <c r="S89" s="2"/>
      <c r="T89" s="6"/>
    </row>
    <row r="90" spans="1:20">
      <c r="A90" s="30"/>
      <c r="H90" s="30"/>
      <c r="K90" s="31" t="str">
        <f t="shared" si="1"/>
        <v/>
      </c>
      <c r="S90" s="2"/>
      <c r="T90" s="6"/>
    </row>
    <row r="91" spans="1:20">
      <c r="A91" s="30"/>
      <c r="H91" s="30"/>
      <c r="K91" s="31" t="str">
        <f t="shared" si="1"/>
        <v/>
      </c>
      <c r="S91" s="2"/>
      <c r="T91" s="6"/>
    </row>
    <row r="92" spans="1:20">
      <c r="A92" s="30"/>
      <c r="H92" s="30"/>
      <c r="K92" s="31" t="str">
        <f t="shared" si="1"/>
        <v/>
      </c>
      <c r="S92" s="2"/>
      <c r="T92" s="6"/>
    </row>
    <row r="93" spans="1:20">
      <c r="A93" s="30"/>
      <c r="H93" s="30"/>
      <c r="K93" s="31" t="str">
        <f t="shared" si="1"/>
        <v/>
      </c>
      <c r="S93" s="2"/>
      <c r="T93" s="6"/>
    </row>
    <row r="94" spans="1:20">
      <c r="A94" s="30"/>
      <c r="H94" s="30"/>
      <c r="K94" s="31" t="str">
        <f t="shared" si="1"/>
        <v/>
      </c>
      <c r="S94" s="2"/>
      <c r="T94" s="6"/>
    </row>
    <row r="95" spans="1:20">
      <c r="A95" s="30"/>
      <c r="H95" s="30"/>
      <c r="K95" s="31" t="str">
        <f t="shared" si="1"/>
        <v/>
      </c>
      <c r="S95" s="2"/>
      <c r="T95" s="6"/>
    </row>
    <row r="96" spans="1:20">
      <c r="A96" s="30"/>
      <c r="H96" s="30"/>
      <c r="K96" s="31" t="str">
        <f t="shared" si="1"/>
        <v/>
      </c>
      <c r="S96" s="2"/>
      <c r="T96" s="6"/>
    </row>
    <row r="97" spans="1:20">
      <c r="A97" s="30"/>
      <c r="H97" s="30"/>
      <c r="K97" s="31" t="str">
        <f t="shared" si="1"/>
        <v/>
      </c>
      <c r="S97" s="2"/>
      <c r="T97" s="6"/>
    </row>
    <row r="98" spans="1:20">
      <c r="A98" s="30"/>
      <c r="H98" s="30"/>
      <c r="K98" s="31" t="str">
        <f t="shared" si="1"/>
        <v/>
      </c>
      <c r="S98" s="2"/>
      <c r="T98" s="6"/>
    </row>
    <row r="99" spans="1:20">
      <c r="A99" s="30"/>
      <c r="H99" s="30"/>
      <c r="K99" s="31" t="str">
        <f t="shared" si="1"/>
        <v/>
      </c>
      <c r="S99" s="2"/>
      <c r="T99" s="6"/>
    </row>
    <row r="100" spans="1:20">
      <c r="A100" s="30"/>
      <c r="H100" s="30"/>
      <c r="K100" s="31" t="str">
        <f t="shared" si="1"/>
        <v/>
      </c>
      <c r="S100" s="2"/>
      <c r="T100" s="6"/>
    </row>
    <row r="101" spans="1:20">
      <c r="A101" s="30"/>
      <c r="H101" s="30"/>
      <c r="K101" s="31" t="str">
        <f t="shared" si="1"/>
        <v/>
      </c>
      <c r="S101" s="2"/>
      <c r="T101" s="6"/>
    </row>
    <row r="102" spans="1:20">
      <c r="A102" s="30"/>
      <c r="H102" s="30"/>
      <c r="K102" s="31" t="str">
        <f t="shared" si="1"/>
        <v/>
      </c>
      <c r="S102" s="2"/>
      <c r="T102" s="6"/>
    </row>
    <row r="103" spans="1:20">
      <c r="A103" s="30"/>
      <c r="H103" s="30"/>
      <c r="K103" s="31" t="str">
        <f t="shared" si="1"/>
        <v/>
      </c>
      <c r="S103" s="2"/>
      <c r="T103" s="6"/>
    </row>
    <row r="104" spans="1:20">
      <c r="A104" s="30"/>
      <c r="H104" s="30"/>
      <c r="K104" s="31" t="str">
        <f t="shared" si="1"/>
        <v/>
      </c>
      <c r="S104" s="2"/>
      <c r="T104" s="6"/>
    </row>
    <row r="105" spans="1:20">
      <c r="A105" s="30"/>
      <c r="H105" s="30"/>
      <c r="K105" s="31" t="str">
        <f t="shared" si="1"/>
        <v/>
      </c>
      <c r="S105" s="2"/>
      <c r="T105" s="6"/>
    </row>
    <row r="106" spans="1:20">
      <c r="A106" s="30"/>
      <c r="H106" s="30"/>
      <c r="K106" s="31" t="str">
        <f t="shared" si="1"/>
        <v/>
      </c>
      <c r="S106" s="2"/>
      <c r="T106" s="6"/>
    </row>
    <row r="107" spans="1:20">
      <c r="A107" s="30"/>
      <c r="H107" s="30"/>
      <c r="K107" s="31" t="str">
        <f t="shared" si="1"/>
        <v/>
      </c>
      <c r="S107" s="2"/>
      <c r="T107" s="6"/>
    </row>
    <row r="108" spans="1:20">
      <c r="A108" s="30"/>
      <c r="H108" s="30"/>
      <c r="K108" s="31" t="str">
        <f t="shared" si="1"/>
        <v/>
      </c>
      <c r="S108" s="2"/>
      <c r="T108" s="6"/>
    </row>
    <row r="109" spans="1:20">
      <c r="A109" s="30"/>
      <c r="H109" s="30"/>
      <c r="K109" s="31" t="str">
        <f t="shared" si="1"/>
        <v/>
      </c>
      <c r="S109" s="2"/>
      <c r="T109" s="6"/>
    </row>
    <row r="110" spans="1:20">
      <c r="A110" s="30"/>
      <c r="H110" s="30"/>
      <c r="K110" s="31" t="str">
        <f t="shared" si="1"/>
        <v/>
      </c>
      <c r="S110" s="2"/>
      <c r="T110" s="6"/>
    </row>
    <row r="111" spans="1:20">
      <c r="A111" s="30"/>
      <c r="H111" s="30"/>
      <c r="K111" s="31" t="str">
        <f t="shared" si="1"/>
        <v/>
      </c>
      <c r="S111" s="2"/>
      <c r="T111" s="6"/>
    </row>
    <row r="112" spans="1:20">
      <c r="A112" s="30"/>
      <c r="H112" s="30"/>
      <c r="K112" s="31" t="str">
        <f t="shared" si="1"/>
        <v/>
      </c>
      <c r="S112" s="2"/>
      <c r="T112" s="6"/>
    </row>
    <row r="113" spans="1:20">
      <c r="A113" s="30"/>
      <c r="H113" s="30"/>
      <c r="K113" s="31" t="str">
        <f t="shared" si="1"/>
        <v/>
      </c>
      <c r="S113" s="2"/>
      <c r="T113" s="6"/>
    </row>
    <row r="114" spans="1:20">
      <c r="A114" s="30"/>
      <c r="H114" s="30"/>
      <c r="K114" s="31" t="str">
        <f t="shared" si="1"/>
        <v/>
      </c>
      <c r="S114" s="2"/>
      <c r="T114" s="6"/>
    </row>
    <row r="115" spans="1:20">
      <c r="A115" s="30"/>
      <c r="H115" s="30"/>
      <c r="K115" s="31" t="str">
        <f t="shared" si="1"/>
        <v/>
      </c>
      <c r="S115" s="2"/>
      <c r="T115" s="6"/>
    </row>
    <row r="116" spans="1:20">
      <c r="A116" s="30"/>
      <c r="H116" s="30"/>
      <c r="K116" s="31" t="str">
        <f t="shared" si="1"/>
        <v/>
      </c>
      <c r="S116" s="2"/>
      <c r="T116" s="6"/>
    </row>
    <row r="117" spans="1:20">
      <c r="A117" s="30"/>
      <c r="H117" s="30"/>
      <c r="K117" s="31" t="str">
        <f t="shared" si="1"/>
        <v/>
      </c>
      <c r="S117" s="2"/>
      <c r="T117" s="6"/>
    </row>
    <row r="118" spans="1:20">
      <c r="A118" s="30"/>
      <c r="H118" s="30"/>
      <c r="K118" s="31" t="str">
        <f t="shared" si="1"/>
        <v/>
      </c>
      <c r="S118" s="2"/>
      <c r="T118" s="6"/>
    </row>
    <row r="119" spans="1:20">
      <c r="A119" s="30"/>
      <c r="H119" s="30"/>
      <c r="K119" s="31" t="str">
        <f t="shared" si="1"/>
        <v/>
      </c>
      <c r="S119" s="2"/>
      <c r="T119" s="6"/>
    </row>
    <row r="120" spans="1:20">
      <c r="A120" s="30"/>
      <c r="H120" s="30"/>
      <c r="K120" s="31" t="str">
        <f t="shared" si="1"/>
        <v/>
      </c>
      <c r="S120" s="2"/>
      <c r="T120" s="6"/>
    </row>
    <row r="121" spans="1:20">
      <c r="A121" s="30"/>
      <c r="H121" s="30"/>
      <c r="K121" s="31" t="str">
        <f t="shared" si="1"/>
        <v/>
      </c>
      <c r="S121" s="2"/>
      <c r="T121" s="6"/>
    </row>
    <row r="122" spans="1:20">
      <c r="A122" s="30"/>
      <c r="H122" s="30"/>
      <c r="K122" s="31" t="str">
        <f t="shared" si="1"/>
        <v/>
      </c>
      <c r="S122" s="2"/>
      <c r="T122" s="6"/>
    </row>
    <row r="123" spans="1:20">
      <c r="A123" s="30"/>
      <c r="H123" s="30"/>
      <c r="K123" s="31" t="str">
        <f t="shared" si="1"/>
        <v/>
      </c>
      <c r="S123" s="2"/>
      <c r="T123" s="6"/>
    </row>
    <row r="124" spans="1:20">
      <c r="A124" s="30"/>
      <c r="H124" s="30"/>
      <c r="K124" s="31" t="str">
        <f t="shared" si="1"/>
        <v/>
      </c>
      <c r="S124" s="2"/>
      <c r="T124" s="6"/>
    </row>
    <row r="125" spans="1:20">
      <c r="A125" s="30"/>
      <c r="H125" s="30"/>
      <c r="K125" s="31" t="str">
        <f t="shared" si="1"/>
        <v/>
      </c>
      <c r="S125" s="2"/>
      <c r="T125" s="6"/>
    </row>
    <row r="126" spans="1:20">
      <c r="A126" s="30"/>
      <c r="H126" s="30"/>
      <c r="K126" s="31" t="str">
        <f t="shared" si="1"/>
        <v/>
      </c>
      <c r="S126" s="2"/>
      <c r="T126" s="6"/>
    </row>
    <row r="127" spans="1:20">
      <c r="A127" s="30"/>
      <c r="H127" s="30"/>
      <c r="K127" s="31" t="str">
        <f t="shared" si="1"/>
        <v/>
      </c>
      <c r="S127" s="2"/>
      <c r="T127" s="6"/>
    </row>
    <row r="128" spans="1:20">
      <c r="A128" s="30"/>
      <c r="H128" s="30"/>
      <c r="K128" s="31" t="str">
        <f t="shared" si="1"/>
        <v/>
      </c>
      <c r="S128" s="2"/>
      <c r="T128" s="6"/>
    </row>
    <row r="129" spans="1:20">
      <c r="A129" s="30"/>
      <c r="H129" s="30"/>
      <c r="K129" s="31" t="str">
        <f t="shared" si="1"/>
        <v/>
      </c>
      <c r="S129" s="2"/>
      <c r="T129" s="6"/>
    </row>
    <row r="130" spans="1:20">
      <c r="A130" s="30"/>
      <c r="H130" s="30"/>
      <c r="K130" s="31" t="str">
        <f t="shared" ref="K130:K193" si="2">IF(OR(A130="",B130=""),"",A130-WEEKDAY(A130,2)+1)</f>
        <v/>
      </c>
      <c r="S130" s="2"/>
      <c r="T130" s="6"/>
    </row>
    <row r="131" spans="1:20">
      <c r="A131" s="30"/>
      <c r="H131" s="30"/>
      <c r="K131" s="31" t="str">
        <f t="shared" si="2"/>
        <v/>
      </c>
      <c r="S131" s="2"/>
      <c r="T131" s="6"/>
    </row>
    <row r="132" spans="1:20">
      <c r="A132" s="30"/>
      <c r="H132" s="30"/>
      <c r="K132" s="31" t="str">
        <f t="shared" si="2"/>
        <v/>
      </c>
      <c r="S132" s="2"/>
      <c r="T132" s="6"/>
    </row>
    <row r="133" spans="1:20">
      <c r="A133" s="30"/>
      <c r="H133" s="30"/>
      <c r="K133" s="31" t="str">
        <f t="shared" si="2"/>
        <v/>
      </c>
      <c r="S133" s="2"/>
      <c r="T133" s="6"/>
    </row>
    <row r="134" spans="1:20">
      <c r="A134" s="30"/>
      <c r="H134" s="30"/>
      <c r="K134" s="31" t="str">
        <f t="shared" si="2"/>
        <v/>
      </c>
      <c r="S134" s="2"/>
      <c r="T134" s="6"/>
    </row>
    <row r="135" spans="1:20">
      <c r="A135" s="30"/>
      <c r="H135" s="30"/>
      <c r="K135" s="31" t="str">
        <f t="shared" si="2"/>
        <v/>
      </c>
      <c r="S135" s="2"/>
      <c r="T135" s="6"/>
    </row>
    <row r="136" spans="1:20">
      <c r="A136" s="30"/>
      <c r="H136" s="30"/>
      <c r="K136" s="31" t="str">
        <f t="shared" si="2"/>
        <v/>
      </c>
      <c r="S136" s="2"/>
      <c r="T136" s="6"/>
    </row>
    <row r="137" spans="1:20">
      <c r="A137" s="30"/>
      <c r="H137" s="30"/>
      <c r="K137" s="31" t="str">
        <f t="shared" si="2"/>
        <v/>
      </c>
      <c r="S137" s="2"/>
      <c r="T137" s="6"/>
    </row>
    <row r="138" spans="1:20">
      <c r="A138" s="30"/>
      <c r="H138" s="30"/>
      <c r="K138" s="31" t="str">
        <f t="shared" si="2"/>
        <v/>
      </c>
      <c r="S138" s="2"/>
      <c r="T138" s="6"/>
    </row>
    <row r="139" spans="1:20">
      <c r="A139" s="30"/>
      <c r="H139" s="30"/>
      <c r="K139" s="31" t="str">
        <f t="shared" si="2"/>
        <v/>
      </c>
      <c r="S139" s="2"/>
      <c r="T139" s="6"/>
    </row>
    <row r="140" spans="1:20">
      <c r="A140" s="30"/>
      <c r="H140" s="30"/>
      <c r="K140" s="31" t="str">
        <f t="shared" si="2"/>
        <v/>
      </c>
      <c r="S140" s="2"/>
      <c r="T140" s="6"/>
    </row>
    <row r="141" spans="1:20">
      <c r="A141" s="30"/>
      <c r="H141" s="30"/>
      <c r="K141" s="31" t="str">
        <f t="shared" si="2"/>
        <v/>
      </c>
      <c r="S141" s="2"/>
      <c r="T141" s="6"/>
    </row>
    <row r="142" spans="1:20">
      <c r="A142" s="30"/>
      <c r="H142" s="30"/>
      <c r="K142" s="31" t="str">
        <f t="shared" si="2"/>
        <v/>
      </c>
      <c r="S142" s="2"/>
      <c r="T142" s="6"/>
    </row>
    <row r="143" spans="1:20">
      <c r="A143" s="30"/>
      <c r="H143" s="30"/>
      <c r="K143" s="31" t="str">
        <f t="shared" si="2"/>
        <v/>
      </c>
      <c r="S143" s="2"/>
      <c r="T143" s="6"/>
    </row>
    <row r="144" spans="1:20">
      <c r="A144" s="30"/>
      <c r="H144" s="30"/>
      <c r="K144" s="31" t="str">
        <f t="shared" si="2"/>
        <v/>
      </c>
      <c r="S144" s="2"/>
      <c r="T144" s="6"/>
    </row>
    <row r="145" spans="1:20">
      <c r="A145" s="30"/>
      <c r="H145" s="30"/>
      <c r="K145" s="31" t="str">
        <f t="shared" si="2"/>
        <v/>
      </c>
      <c r="S145" s="2"/>
      <c r="T145" s="6"/>
    </row>
    <row r="146" spans="1:20">
      <c r="A146" s="30"/>
      <c r="H146" s="30"/>
      <c r="K146" s="31" t="str">
        <f t="shared" si="2"/>
        <v/>
      </c>
      <c r="S146" s="2"/>
      <c r="T146" s="6"/>
    </row>
    <row r="147" spans="1:20">
      <c r="A147" s="30"/>
      <c r="H147" s="30"/>
      <c r="K147" s="31" t="str">
        <f t="shared" si="2"/>
        <v/>
      </c>
      <c r="S147" s="2"/>
      <c r="T147" s="6"/>
    </row>
    <row r="148" spans="1:20">
      <c r="A148" s="30"/>
      <c r="H148" s="30"/>
      <c r="K148" s="31" t="str">
        <f t="shared" si="2"/>
        <v/>
      </c>
      <c r="S148" s="2"/>
      <c r="T148" s="6"/>
    </row>
    <row r="149" spans="1:20">
      <c r="A149" s="30"/>
      <c r="H149" s="30"/>
      <c r="K149" s="31" t="str">
        <f t="shared" si="2"/>
        <v/>
      </c>
      <c r="S149" s="2"/>
      <c r="T149" s="6"/>
    </row>
    <row r="150" spans="1:20">
      <c r="A150" s="30"/>
      <c r="H150" s="30"/>
      <c r="K150" s="31" t="str">
        <f t="shared" si="2"/>
        <v/>
      </c>
      <c r="S150" s="2"/>
      <c r="T150" s="6"/>
    </row>
    <row r="151" spans="1:20">
      <c r="A151" s="30"/>
      <c r="H151" s="30"/>
      <c r="K151" s="31" t="str">
        <f t="shared" si="2"/>
        <v/>
      </c>
      <c r="S151" s="2"/>
      <c r="T151" s="6"/>
    </row>
    <row r="152" spans="1:20">
      <c r="A152" s="30"/>
      <c r="H152" s="30"/>
      <c r="K152" s="31" t="str">
        <f t="shared" si="2"/>
        <v/>
      </c>
      <c r="S152" s="2"/>
      <c r="T152" s="6"/>
    </row>
    <row r="153" spans="1:20">
      <c r="A153" s="30"/>
      <c r="H153" s="30"/>
      <c r="K153" s="31" t="str">
        <f t="shared" si="2"/>
        <v/>
      </c>
      <c r="S153" s="2"/>
      <c r="T153" s="6"/>
    </row>
    <row r="154" spans="1:20">
      <c r="A154" s="30"/>
      <c r="H154" s="30"/>
      <c r="K154" s="31" t="str">
        <f t="shared" si="2"/>
        <v/>
      </c>
      <c r="S154" s="2"/>
      <c r="T154" s="6"/>
    </row>
    <row r="155" spans="1:20">
      <c r="A155" s="30"/>
      <c r="H155" s="30"/>
      <c r="K155" s="31" t="str">
        <f t="shared" si="2"/>
        <v/>
      </c>
      <c r="S155" s="2"/>
      <c r="T155" s="6"/>
    </row>
    <row r="156" spans="1:20">
      <c r="A156" s="30"/>
      <c r="H156" s="30"/>
      <c r="K156" s="31" t="str">
        <f t="shared" si="2"/>
        <v/>
      </c>
      <c r="S156" s="2"/>
      <c r="T156" s="6"/>
    </row>
    <row r="157" spans="1:20">
      <c r="A157" s="30"/>
      <c r="H157" s="30"/>
      <c r="K157" s="31" t="str">
        <f t="shared" si="2"/>
        <v/>
      </c>
      <c r="S157" s="2"/>
      <c r="T157" s="6"/>
    </row>
    <row r="158" spans="1:20">
      <c r="A158" s="30"/>
      <c r="H158" s="30"/>
      <c r="K158" s="31" t="str">
        <f t="shared" si="2"/>
        <v/>
      </c>
      <c r="S158" s="2"/>
      <c r="T158" s="6"/>
    </row>
    <row r="159" spans="1:20">
      <c r="A159" s="30"/>
      <c r="H159" s="30"/>
      <c r="K159" s="31" t="str">
        <f t="shared" si="2"/>
        <v/>
      </c>
      <c r="S159" s="2"/>
      <c r="T159" s="6"/>
    </row>
    <row r="160" spans="1:20">
      <c r="A160" s="30"/>
      <c r="H160" s="30"/>
      <c r="K160" s="31" t="str">
        <f t="shared" si="2"/>
        <v/>
      </c>
      <c r="S160" s="2"/>
      <c r="T160" s="6"/>
    </row>
    <row r="161" spans="1:20">
      <c r="A161" s="30"/>
      <c r="H161" s="30"/>
      <c r="K161" s="31" t="str">
        <f t="shared" si="2"/>
        <v/>
      </c>
      <c r="S161" s="2"/>
      <c r="T161" s="6"/>
    </row>
    <row r="162" spans="1:20">
      <c r="A162" s="30"/>
      <c r="H162" s="30"/>
      <c r="K162" s="31" t="str">
        <f t="shared" si="2"/>
        <v/>
      </c>
      <c r="S162" s="2"/>
      <c r="T162" s="6"/>
    </row>
    <row r="163" spans="1:20">
      <c r="A163" s="30"/>
      <c r="H163" s="30"/>
      <c r="K163" s="31" t="str">
        <f t="shared" si="2"/>
        <v/>
      </c>
      <c r="S163" s="2"/>
      <c r="T163" s="6"/>
    </row>
    <row r="164" spans="1:20">
      <c r="A164" s="30"/>
      <c r="H164" s="30"/>
      <c r="K164" s="31" t="str">
        <f t="shared" si="2"/>
        <v/>
      </c>
      <c r="S164" s="2"/>
      <c r="T164" s="6"/>
    </row>
    <row r="165" spans="1:20">
      <c r="A165" s="30"/>
      <c r="H165" s="30"/>
      <c r="K165" s="31" t="str">
        <f t="shared" si="2"/>
        <v/>
      </c>
      <c r="S165" s="2"/>
      <c r="T165" s="6"/>
    </row>
    <row r="166" spans="1:20">
      <c r="A166" s="30"/>
      <c r="H166" s="30"/>
      <c r="K166" s="31" t="str">
        <f t="shared" si="2"/>
        <v/>
      </c>
      <c r="S166" s="2"/>
      <c r="T166" s="6"/>
    </row>
    <row r="167" spans="1:20">
      <c r="A167" s="30"/>
      <c r="H167" s="30"/>
      <c r="K167" s="31" t="str">
        <f t="shared" si="2"/>
        <v/>
      </c>
      <c r="S167" s="2"/>
      <c r="T167" s="6"/>
    </row>
    <row r="168" spans="1:20">
      <c r="A168" s="30"/>
      <c r="H168" s="30"/>
      <c r="K168" s="31" t="str">
        <f t="shared" si="2"/>
        <v/>
      </c>
      <c r="S168" s="2"/>
      <c r="T168" s="6"/>
    </row>
    <row r="169" spans="1:20">
      <c r="A169" s="30"/>
      <c r="H169" s="30"/>
      <c r="K169" s="31" t="str">
        <f t="shared" si="2"/>
        <v/>
      </c>
      <c r="S169" s="2"/>
      <c r="T169" s="6"/>
    </row>
    <row r="170" spans="1:20">
      <c r="A170" s="30"/>
      <c r="H170" s="30"/>
      <c r="K170" s="31" t="str">
        <f t="shared" si="2"/>
        <v/>
      </c>
      <c r="S170" s="2"/>
      <c r="T170" s="6"/>
    </row>
    <row r="171" spans="1:20">
      <c r="A171" s="30"/>
      <c r="H171" s="30"/>
      <c r="K171" s="31" t="str">
        <f t="shared" si="2"/>
        <v/>
      </c>
      <c r="S171" s="2"/>
      <c r="T171" s="6"/>
    </row>
    <row r="172" spans="1:20">
      <c r="A172" s="30"/>
      <c r="H172" s="30"/>
      <c r="K172" s="31" t="str">
        <f t="shared" si="2"/>
        <v/>
      </c>
      <c r="S172" s="2"/>
      <c r="T172" s="6"/>
    </row>
    <row r="173" spans="1:20">
      <c r="A173" s="30"/>
      <c r="H173" s="30"/>
      <c r="K173" s="31" t="str">
        <f t="shared" si="2"/>
        <v/>
      </c>
      <c r="S173" s="2"/>
      <c r="T173" s="6"/>
    </row>
    <row r="174" spans="1:20">
      <c r="A174" s="30"/>
      <c r="H174" s="30"/>
      <c r="K174" s="31" t="str">
        <f t="shared" si="2"/>
        <v/>
      </c>
      <c r="S174" s="2"/>
      <c r="T174" s="6"/>
    </row>
    <row r="175" spans="1:20">
      <c r="A175" s="30"/>
      <c r="H175" s="30"/>
      <c r="K175" s="31" t="str">
        <f t="shared" si="2"/>
        <v/>
      </c>
      <c r="S175" s="2"/>
      <c r="T175" s="6"/>
    </row>
    <row r="176" spans="1:20">
      <c r="A176" s="30"/>
      <c r="H176" s="30"/>
      <c r="K176" s="31" t="str">
        <f t="shared" si="2"/>
        <v/>
      </c>
      <c r="S176" s="2"/>
      <c r="T176" s="6"/>
    </row>
    <row r="177" spans="1:20">
      <c r="A177" s="30"/>
      <c r="H177" s="30"/>
      <c r="K177" s="31" t="str">
        <f t="shared" si="2"/>
        <v/>
      </c>
      <c r="S177" s="2"/>
      <c r="T177" s="6"/>
    </row>
    <row r="178" spans="1:20">
      <c r="A178" s="30"/>
      <c r="H178" s="30"/>
      <c r="K178" s="31" t="str">
        <f t="shared" si="2"/>
        <v/>
      </c>
      <c r="S178" s="2"/>
      <c r="T178" s="6"/>
    </row>
    <row r="179" spans="1:20">
      <c r="A179" s="30"/>
      <c r="H179" s="30"/>
      <c r="K179" s="31" t="str">
        <f t="shared" si="2"/>
        <v/>
      </c>
      <c r="S179" s="2"/>
      <c r="T179" s="6"/>
    </row>
    <row r="180" spans="1:20">
      <c r="A180" s="30"/>
      <c r="H180" s="30"/>
      <c r="K180" s="31" t="str">
        <f t="shared" si="2"/>
        <v/>
      </c>
      <c r="S180" s="2"/>
      <c r="T180" s="6"/>
    </row>
    <row r="181" spans="1:20">
      <c r="A181" s="30"/>
      <c r="H181" s="30"/>
      <c r="K181" s="31" t="str">
        <f t="shared" si="2"/>
        <v/>
      </c>
      <c r="S181" s="2"/>
      <c r="T181" s="6"/>
    </row>
    <row r="182" spans="1:20">
      <c r="A182" s="30"/>
      <c r="H182" s="30"/>
      <c r="K182" s="31" t="str">
        <f t="shared" si="2"/>
        <v/>
      </c>
      <c r="S182" s="2"/>
      <c r="T182" s="6"/>
    </row>
    <row r="183" spans="1:20">
      <c r="A183" s="30"/>
      <c r="H183" s="30"/>
      <c r="K183" s="31" t="str">
        <f t="shared" si="2"/>
        <v/>
      </c>
      <c r="S183" s="2"/>
      <c r="T183" s="6"/>
    </row>
    <row r="184" spans="1:20">
      <c r="A184" s="30"/>
      <c r="H184" s="30"/>
      <c r="K184" s="31" t="str">
        <f t="shared" si="2"/>
        <v/>
      </c>
      <c r="S184" s="2"/>
      <c r="T184" s="6"/>
    </row>
    <row r="185" spans="1:20">
      <c r="A185" s="30"/>
      <c r="H185" s="30"/>
      <c r="K185" s="31" t="str">
        <f t="shared" si="2"/>
        <v/>
      </c>
      <c r="S185" s="2"/>
      <c r="T185" s="6"/>
    </row>
    <row r="186" spans="1:20">
      <c r="A186" s="30"/>
      <c r="H186" s="30"/>
      <c r="K186" s="31" t="str">
        <f t="shared" si="2"/>
        <v/>
      </c>
      <c r="S186" s="2"/>
      <c r="T186" s="6"/>
    </row>
    <row r="187" spans="1:20">
      <c r="A187" s="30"/>
      <c r="H187" s="30"/>
      <c r="K187" s="31" t="str">
        <f t="shared" si="2"/>
        <v/>
      </c>
      <c r="S187" s="2"/>
      <c r="T187" s="6"/>
    </row>
    <row r="188" spans="1:20">
      <c r="A188" s="30"/>
      <c r="H188" s="30"/>
      <c r="K188" s="31" t="str">
        <f t="shared" si="2"/>
        <v/>
      </c>
      <c r="S188" s="2"/>
      <c r="T188" s="6"/>
    </row>
    <row r="189" spans="1:20">
      <c r="A189" s="30"/>
      <c r="H189" s="30"/>
      <c r="K189" s="31" t="str">
        <f t="shared" si="2"/>
        <v/>
      </c>
      <c r="S189" s="2"/>
      <c r="T189" s="6"/>
    </row>
    <row r="190" spans="1:20">
      <c r="A190" s="30"/>
      <c r="H190" s="30"/>
      <c r="K190" s="31" t="str">
        <f t="shared" si="2"/>
        <v/>
      </c>
      <c r="S190" s="2"/>
      <c r="T190" s="6"/>
    </row>
    <row r="191" spans="1:20">
      <c r="A191" s="30"/>
      <c r="H191" s="30"/>
      <c r="K191" s="31" t="str">
        <f t="shared" si="2"/>
        <v/>
      </c>
      <c r="S191" s="2"/>
      <c r="T191" s="6"/>
    </row>
    <row r="192" spans="1:20">
      <c r="A192" s="30"/>
      <c r="H192" s="30"/>
      <c r="K192" s="31" t="str">
        <f t="shared" si="2"/>
        <v/>
      </c>
      <c r="S192" s="2"/>
      <c r="T192" s="6"/>
    </row>
    <row r="193" spans="1:20">
      <c r="A193" s="30"/>
      <c r="H193" s="30"/>
      <c r="K193" s="31" t="str">
        <f t="shared" si="2"/>
        <v/>
      </c>
      <c r="S193" s="2"/>
      <c r="T193" s="6"/>
    </row>
    <row r="194" spans="1:20">
      <c r="A194" s="30"/>
      <c r="H194" s="30"/>
      <c r="K194" s="31" t="str">
        <f t="shared" ref="K194:K257" si="3">IF(OR(A194="",B194=""),"",A194-WEEKDAY(A194,2)+1)</f>
        <v/>
      </c>
      <c r="S194" s="2"/>
      <c r="T194" s="6"/>
    </row>
    <row r="195" spans="1:20">
      <c r="A195" s="30"/>
      <c r="H195" s="30"/>
      <c r="K195" s="31" t="str">
        <f t="shared" si="3"/>
        <v/>
      </c>
      <c r="S195" s="2"/>
      <c r="T195" s="6"/>
    </row>
    <row r="196" spans="1:20">
      <c r="A196" s="30"/>
      <c r="H196" s="30"/>
      <c r="K196" s="31" t="str">
        <f t="shared" si="3"/>
        <v/>
      </c>
      <c r="S196" s="2"/>
      <c r="T196" s="6"/>
    </row>
    <row r="197" spans="1:20">
      <c r="A197" s="30"/>
      <c r="H197" s="30"/>
      <c r="K197" s="31" t="str">
        <f t="shared" si="3"/>
        <v/>
      </c>
      <c r="S197" s="2"/>
      <c r="T197" s="6"/>
    </row>
    <row r="198" spans="1:20">
      <c r="A198" s="30"/>
      <c r="H198" s="30"/>
      <c r="K198" s="31" t="str">
        <f t="shared" si="3"/>
        <v/>
      </c>
      <c r="S198" s="2"/>
      <c r="T198" s="6"/>
    </row>
    <row r="199" spans="1:20">
      <c r="A199" s="30"/>
      <c r="H199" s="30"/>
      <c r="K199" s="31" t="str">
        <f t="shared" si="3"/>
        <v/>
      </c>
      <c r="S199" s="2"/>
      <c r="T199" s="6"/>
    </row>
    <row r="200" spans="1:20">
      <c r="A200" s="30"/>
      <c r="H200" s="30"/>
      <c r="K200" s="31" t="str">
        <f t="shared" si="3"/>
        <v/>
      </c>
      <c r="S200" s="2"/>
      <c r="T200" s="6"/>
    </row>
    <row r="201" spans="1:20">
      <c r="A201" s="30"/>
      <c r="H201" s="30"/>
      <c r="K201" s="31" t="str">
        <f t="shared" si="3"/>
        <v/>
      </c>
      <c r="S201" s="2"/>
      <c r="T201" s="6"/>
    </row>
    <row r="202" spans="1:20">
      <c r="A202" s="30"/>
      <c r="H202" s="30"/>
      <c r="K202" s="31" t="str">
        <f t="shared" si="3"/>
        <v/>
      </c>
      <c r="S202" s="2"/>
      <c r="T202" s="6"/>
    </row>
    <row r="203" spans="1:20">
      <c r="A203" s="30"/>
      <c r="H203" s="30"/>
      <c r="K203" s="31" t="str">
        <f t="shared" si="3"/>
        <v/>
      </c>
      <c r="S203" s="2"/>
      <c r="T203" s="6"/>
    </row>
    <row r="204" spans="1:20">
      <c r="A204" s="30"/>
      <c r="H204" s="30"/>
      <c r="K204" s="31" t="str">
        <f t="shared" si="3"/>
        <v/>
      </c>
      <c r="S204" s="2"/>
      <c r="T204" s="6"/>
    </row>
    <row r="205" spans="1:20">
      <c r="A205" s="30"/>
      <c r="H205" s="30"/>
      <c r="K205" s="31" t="str">
        <f t="shared" si="3"/>
        <v/>
      </c>
      <c r="S205" s="2"/>
      <c r="T205" s="6"/>
    </row>
    <row r="206" spans="1:20">
      <c r="A206" s="30"/>
      <c r="H206" s="30"/>
      <c r="K206" s="31" t="str">
        <f t="shared" si="3"/>
        <v/>
      </c>
      <c r="S206" s="2"/>
      <c r="T206" s="6"/>
    </row>
    <row r="207" spans="1:20">
      <c r="A207" s="30"/>
      <c r="H207" s="30"/>
      <c r="K207" s="31" t="str">
        <f t="shared" si="3"/>
        <v/>
      </c>
      <c r="S207" s="2"/>
      <c r="T207" s="6"/>
    </row>
    <row r="208" spans="1:20">
      <c r="A208" s="30"/>
      <c r="H208" s="30"/>
      <c r="K208" s="31" t="str">
        <f t="shared" si="3"/>
        <v/>
      </c>
      <c r="S208" s="2"/>
      <c r="T208" s="6"/>
    </row>
    <row r="209" spans="1:20">
      <c r="A209" s="30"/>
      <c r="H209" s="30"/>
      <c r="K209" s="31" t="str">
        <f t="shared" si="3"/>
        <v/>
      </c>
      <c r="S209" s="2"/>
      <c r="T209" s="6"/>
    </row>
    <row r="210" spans="1:20">
      <c r="A210" s="30"/>
      <c r="H210" s="30"/>
      <c r="K210" s="31" t="str">
        <f t="shared" si="3"/>
        <v/>
      </c>
      <c r="S210" s="2"/>
      <c r="T210" s="6"/>
    </row>
    <row r="211" spans="1:20">
      <c r="A211" s="30"/>
      <c r="H211" s="30"/>
      <c r="K211" s="31" t="str">
        <f t="shared" si="3"/>
        <v/>
      </c>
      <c r="S211" s="2"/>
      <c r="T211" s="6"/>
    </row>
    <row r="212" spans="1:20">
      <c r="A212" s="30"/>
      <c r="H212" s="30"/>
      <c r="K212" s="31" t="str">
        <f t="shared" si="3"/>
        <v/>
      </c>
      <c r="S212" s="2"/>
      <c r="T212" s="6"/>
    </row>
    <row r="213" spans="1:20">
      <c r="A213" s="30"/>
      <c r="H213" s="30"/>
      <c r="K213" s="31" t="str">
        <f t="shared" si="3"/>
        <v/>
      </c>
      <c r="S213" s="2"/>
      <c r="T213" s="6"/>
    </row>
    <row r="214" spans="1:20">
      <c r="A214" s="30"/>
      <c r="H214" s="30"/>
      <c r="K214" s="31" t="str">
        <f t="shared" si="3"/>
        <v/>
      </c>
      <c r="S214" s="2"/>
      <c r="T214" s="6"/>
    </row>
    <row r="215" spans="1:20">
      <c r="A215" s="30"/>
      <c r="H215" s="30"/>
      <c r="K215" s="31" t="str">
        <f t="shared" si="3"/>
        <v/>
      </c>
      <c r="S215" s="2"/>
      <c r="T215" s="6"/>
    </row>
    <row r="216" spans="1:20">
      <c r="A216" s="30"/>
      <c r="H216" s="30"/>
      <c r="K216" s="31" t="str">
        <f t="shared" si="3"/>
        <v/>
      </c>
      <c r="S216" s="2"/>
      <c r="T216" s="6"/>
    </row>
    <row r="217" spans="1:20">
      <c r="A217" s="30"/>
      <c r="H217" s="30"/>
      <c r="K217" s="31" t="str">
        <f t="shared" si="3"/>
        <v/>
      </c>
      <c r="S217" s="2"/>
      <c r="T217" s="6"/>
    </row>
    <row r="218" spans="1:20">
      <c r="A218" s="30"/>
      <c r="H218" s="30"/>
      <c r="K218" s="31" t="str">
        <f t="shared" si="3"/>
        <v/>
      </c>
      <c r="S218" s="2"/>
      <c r="T218" s="6"/>
    </row>
    <row r="219" spans="1:20">
      <c r="A219" s="30"/>
      <c r="H219" s="30"/>
      <c r="K219" s="31" t="str">
        <f t="shared" si="3"/>
        <v/>
      </c>
      <c r="S219" s="2"/>
      <c r="T219" s="6"/>
    </row>
    <row r="220" spans="1:20">
      <c r="A220" s="30"/>
      <c r="H220" s="30"/>
      <c r="K220" s="31" t="str">
        <f t="shared" si="3"/>
        <v/>
      </c>
      <c r="S220" s="2"/>
      <c r="T220" s="6"/>
    </row>
    <row r="221" spans="1:20">
      <c r="A221" s="30"/>
      <c r="H221" s="30"/>
      <c r="K221" s="31" t="str">
        <f t="shared" si="3"/>
        <v/>
      </c>
      <c r="S221" s="2"/>
      <c r="T221" s="6"/>
    </row>
    <row r="222" spans="1:20">
      <c r="A222" s="30"/>
      <c r="H222" s="30"/>
      <c r="K222" s="31" t="str">
        <f t="shared" si="3"/>
        <v/>
      </c>
      <c r="S222" s="2"/>
      <c r="T222" s="6"/>
    </row>
    <row r="223" spans="1:20">
      <c r="A223" s="30"/>
      <c r="H223" s="30"/>
      <c r="K223" s="31" t="str">
        <f t="shared" si="3"/>
        <v/>
      </c>
      <c r="S223" s="2"/>
      <c r="T223" s="6"/>
    </row>
    <row r="224" spans="1:20">
      <c r="A224" s="30"/>
      <c r="H224" s="30"/>
      <c r="K224" s="31" t="str">
        <f t="shared" si="3"/>
        <v/>
      </c>
      <c r="S224" s="2"/>
      <c r="T224" s="6"/>
    </row>
    <row r="225" spans="1:20">
      <c r="A225" s="30"/>
      <c r="H225" s="30"/>
      <c r="K225" s="31" t="str">
        <f t="shared" si="3"/>
        <v/>
      </c>
      <c r="S225" s="2"/>
      <c r="T225" s="6"/>
    </row>
    <row r="226" spans="1:20">
      <c r="A226" s="30"/>
      <c r="H226" s="30"/>
      <c r="K226" s="31" t="str">
        <f t="shared" si="3"/>
        <v/>
      </c>
      <c r="S226" s="2"/>
      <c r="T226" s="6"/>
    </row>
    <row r="227" spans="1:20">
      <c r="A227" s="30"/>
      <c r="H227" s="30"/>
      <c r="K227" s="31" t="str">
        <f t="shared" si="3"/>
        <v/>
      </c>
      <c r="S227" s="2"/>
      <c r="T227" s="6"/>
    </row>
    <row r="228" spans="1:20">
      <c r="A228" s="30"/>
      <c r="H228" s="30"/>
      <c r="K228" s="31" t="str">
        <f t="shared" si="3"/>
        <v/>
      </c>
      <c r="S228" s="2"/>
      <c r="T228" s="6"/>
    </row>
    <row r="229" spans="1:20">
      <c r="A229" s="30"/>
      <c r="H229" s="30"/>
      <c r="K229" s="31" t="str">
        <f t="shared" si="3"/>
        <v/>
      </c>
      <c r="S229" s="2"/>
      <c r="T229" s="6"/>
    </row>
    <row r="230" spans="1:20">
      <c r="A230" s="30"/>
      <c r="H230" s="30"/>
      <c r="K230" s="31" t="str">
        <f t="shared" si="3"/>
        <v/>
      </c>
      <c r="S230" s="2"/>
      <c r="T230" s="6"/>
    </row>
    <row r="231" spans="1:20">
      <c r="A231" s="30"/>
      <c r="H231" s="30"/>
      <c r="K231" s="31" t="str">
        <f t="shared" si="3"/>
        <v/>
      </c>
      <c r="S231" s="2"/>
      <c r="T231" s="6"/>
    </row>
    <row r="232" spans="1:20">
      <c r="A232" s="30"/>
      <c r="H232" s="30"/>
      <c r="K232" s="31" t="str">
        <f t="shared" si="3"/>
        <v/>
      </c>
      <c r="S232" s="2"/>
      <c r="T232" s="6"/>
    </row>
    <row r="233" spans="1:20">
      <c r="A233" s="30"/>
      <c r="H233" s="30"/>
      <c r="K233" s="31" t="str">
        <f t="shared" si="3"/>
        <v/>
      </c>
      <c r="S233" s="2"/>
      <c r="T233" s="6"/>
    </row>
    <row r="234" spans="1:20">
      <c r="A234" s="30"/>
      <c r="H234" s="30"/>
      <c r="K234" s="31" t="str">
        <f t="shared" si="3"/>
        <v/>
      </c>
      <c r="S234" s="2"/>
      <c r="T234" s="6"/>
    </row>
    <row r="235" spans="1:20">
      <c r="A235" s="30"/>
      <c r="H235" s="30"/>
      <c r="K235" s="31" t="str">
        <f t="shared" si="3"/>
        <v/>
      </c>
      <c r="S235" s="2"/>
      <c r="T235" s="6"/>
    </row>
    <row r="236" spans="1:20">
      <c r="A236" s="30"/>
      <c r="H236" s="30"/>
      <c r="K236" s="31" t="str">
        <f t="shared" si="3"/>
        <v/>
      </c>
      <c r="S236" s="2"/>
      <c r="T236" s="6"/>
    </row>
    <row r="237" spans="1:20">
      <c r="A237" s="30"/>
      <c r="H237" s="30"/>
      <c r="K237" s="31" t="str">
        <f t="shared" si="3"/>
        <v/>
      </c>
      <c r="S237" s="2"/>
      <c r="T237" s="6"/>
    </row>
    <row r="238" spans="1:20">
      <c r="A238" s="30"/>
      <c r="H238" s="30"/>
      <c r="K238" s="31" t="str">
        <f t="shared" si="3"/>
        <v/>
      </c>
      <c r="S238" s="2"/>
      <c r="T238" s="6"/>
    </row>
    <row r="239" spans="1:20">
      <c r="A239" s="30"/>
      <c r="H239" s="30"/>
      <c r="K239" s="31" t="str">
        <f t="shared" si="3"/>
        <v/>
      </c>
      <c r="S239" s="2"/>
      <c r="T239" s="6"/>
    </row>
    <row r="240" spans="1:20">
      <c r="A240" s="30"/>
      <c r="H240" s="30"/>
      <c r="K240" s="31" t="str">
        <f t="shared" si="3"/>
        <v/>
      </c>
      <c r="S240" s="2"/>
      <c r="T240" s="6"/>
    </row>
    <row r="241" spans="1:20">
      <c r="A241" s="30"/>
      <c r="H241" s="30"/>
      <c r="K241" s="31" t="str">
        <f t="shared" si="3"/>
        <v/>
      </c>
      <c r="S241" s="2"/>
      <c r="T241" s="6"/>
    </row>
    <row r="242" spans="1:20">
      <c r="A242" s="30"/>
      <c r="H242" s="30"/>
      <c r="K242" s="31" t="str">
        <f t="shared" si="3"/>
        <v/>
      </c>
      <c r="S242" s="2"/>
      <c r="T242" s="6"/>
    </row>
    <row r="243" spans="1:20">
      <c r="A243" s="30"/>
      <c r="H243" s="30"/>
      <c r="K243" s="31" t="str">
        <f t="shared" si="3"/>
        <v/>
      </c>
      <c r="S243" s="2"/>
      <c r="T243" s="6"/>
    </row>
    <row r="244" spans="1:20">
      <c r="A244" s="30"/>
      <c r="H244" s="30"/>
      <c r="K244" s="31" t="str">
        <f t="shared" si="3"/>
        <v/>
      </c>
      <c r="S244" s="2"/>
      <c r="T244" s="6"/>
    </row>
    <row r="245" spans="1:20">
      <c r="A245" s="30"/>
      <c r="H245" s="30"/>
      <c r="K245" s="31" t="str">
        <f t="shared" si="3"/>
        <v/>
      </c>
      <c r="S245" s="2"/>
      <c r="T245" s="6"/>
    </row>
    <row r="246" spans="1:20">
      <c r="A246" s="30"/>
      <c r="H246" s="30"/>
      <c r="K246" s="31" t="str">
        <f t="shared" si="3"/>
        <v/>
      </c>
      <c r="S246" s="2"/>
      <c r="T246" s="6"/>
    </row>
    <row r="247" spans="1:20">
      <c r="A247" s="30"/>
      <c r="H247" s="30"/>
      <c r="K247" s="31" t="str">
        <f t="shared" si="3"/>
        <v/>
      </c>
      <c r="S247" s="2"/>
      <c r="T247" s="6"/>
    </row>
    <row r="248" spans="1:20">
      <c r="A248" s="30"/>
      <c r="H248" s="30"/>
      <c r="K248" s="31" t="str">
        <f t="shared" si="3"/>
        <v/>
      </c>
      <c r="S248" s="2"/>
      <c r="T248" s="6"/>
    </row>
    <row r="249" spans="1:20">
      <c r="A249" s="30"/>
      <c r="H249" s="30"/>
      <c r="K249" s="31" t="str">
        <f t="shared" si="3"/>
        <v/>
      </c>
      <c r="S249" s="2"/>
      <c r="T249" s="6"/>
    </row>
    <row r="250" spans="1:20">
      <c r="A250" s="30"/>
      <c r="H250" s="30"/>
      <c r="K250" s="31" t="str">
        <f t="shared" si="3"/>
        <v/>
      </c>
      <c r="S250" s="2"/>
      <c r="T250" s="6"/>
    </row>
    <row r="251" spans="1:20">
      <c r="A251" s="30"/>
      <c r="H251" s="30"/>
      <c r="K251" s="31" t="str">
        <f t="shared" si="3"/>
        <v/>
      </c>
      <c r="S251" s="2"/>
      <c r="T251" s="6"/>
    </row>
    <row r="252" spans="1:20">
      <c r="A252" s="30"/>
      <c r="H252" s="30"/>
      <c r="K252" s="31" t="str">
        <f t="shared" si="3"/>
        <v/>
      </c>
      <c r="S252" s="2"/>
      <c r="T252" s="6"/>
    </row>
    <row r="253" spans="1:20">
      <c r="A253" s="30"/>
      <c r="H253" s="30"/>
      <c r="K253" s="31" t="str">
        <f t="shared" si="3"/>
        <v/>
      </c>
      <c r="S253" s="2"/>
      <c r="T253" s="6"/>
    </row>
    <row r="254" spans="1:20">
      <c r="A254" s="30"/>
      <c r="H254" s="30"/>
      <c r="K254" s="31" t="str">
        <f t="shared" si="3"/>
        <v/>
      </c>
      <c r="S254" s="2"/>
      <c r="T254" s="6"/>
    </row>
    <row r="255" spans="1:20">
      <c r="A255" s="30"/>
      <c r="H255" s="30"/>
      <c r="K255" s="31" t="str">
        <f t="shared" si="3"/>
        <v/>
      </c>
      <c r="S255" s="2"/>
      <c r="T255" s="6"/>
    </row>
    <row r="256" spans="1:20">
      <c r="A256" s="30"/>
      <c r="H256" s="30"/>
      <c r="K256" s="31" t="str">
        <f t="shared" si="3"/>
        <v/>
      </c>
      <c r="S256" s="2"/>
      <c r="T256" s="6"/>
    </row>
    <row r="257" spans="1:20">
      <c r="A257" s="30"/>
      <c r="H257" s="30"/>
      <c r="K257" s="31" t="str">
        <f t="shared" si="3"/>
        <v/>
      </c>
      <c r="S257" s="2"/>
      <c r="T257" s="6"/>
    </row>
    <row r="258" spans="1:20">
      <c r="A258" s="30"/>
      <c r="H258" s="30"/>
      <c r="K258" s="31" t="str">
        <f t="shared" ref="K258:K321" si="4">IF(OR(A258="",B258=""),"",A258-WEEKDAY(A258,2)+1)</f>
        <v/>
      </c>
      <c r="S258" s="2"/>
      <c r="T258" s="6"/>
    </row>
    <row r="259" spans="1:20">
      <c r="A259" s="30"/>
      <c r="H259" s="30"/>
      <c r="K259" s="31" t="str">
        <f t="shared" si="4"/>
        <v/>
      </c>
      <c r="S259" s="2"/>
      <c r="T259" s="6"/>
    </row>
    <row r="260" spans="1:20">
      <c r="A260" s="30"/>
      <c r="H260" s="30"/>
      <c r="K260" s="31" t="str">
        <f t="shared" si="4"/>
        <v/>
      </c>
      <c r="S260" s="2"/>
      <c r="T260" s="6"/>
    </row>
    <row r="261" spans="1:20">
      <c r="A261" s="30"/>
      <c r="H261" s="30"/>
      <c r="K261" s="31" t="str">
        <f t="shared" si="4"/>
        <v/>
      </c>
      <c r="S261" s="2"/>
      <c r="T261" s="6"/>
    </row>
    <row r="262" spans="1:20">
      <c r="A262" s="30"/>
      <c r="H262" s="30"/>
      <c r="K262" s="31" t="str">
        <f t="shared" si="4"/>
        <v/>
      </c>
      <c r="S262" s="2"/>
      <c r="T262" s="6"/>
    </row>
    <row r="263" spans="1:20">
      <c r="A263" s="30"/>
      <c r="H263" s="30"/>
      <c r="K263" s="31" t="str">
        <f t="shared" si="4"/>
        <v/>
      </c>
      <c r="S263" s="2"/>
      <c r="T263" s="6"/>
    </row>
    <row r="264" spans="1:20">
      <c r="A264" s="30"/>
      <c r="H264" s="30"/>
      <c r="K264" s="31" t="str">
        <f t="shared" si="4"/>
        <v/>
      </c>
      <c r="S264" s="2"/>
      <c r="T264" s="6"/>
    </row>
    <row r="265" spans="1:20">
      <c r="A265" s="30"/>
      <c r="H265" s="30"/>
      <c r="K265" s="31" t="str">
        <f t="shared" si="4"/>
        <v/>
      </c>
      <c r="S265" s="2"/>
      <c r="T265" s="6"/>
    </row>
    <row r="266" spans="1:20">
      <c r="A266" s="30"/>
      <c r="H266" s="30"/>
      <c r="K266" s="31" t="str">
        <f t="shared" si="4"/>
        <v/>
      </c>
      <c r="S266" s="2"/>
      <c r="T266" s="6"/>
    </row>
    <row r="267" spans="1:20">
      <c r="A267" s="30"/>
      <c r="H267" s="30"/>
      <c r="K267" s="31" t="str">
        <f t="shared" si="4"/>
        <v/>
      </c>
      <c r="S267" s="2"/>
      <c r="T267" s="6"/>
    </row>
    <row r="268" spans="1:20">
      <c r="A268" s="30"/>
      <c r="H268" s="30"/>
      <c r="K268" s="31" t="str">
        <f t="shared" si="4"/>
        <v/>
      </c>
      <c r="S268" s="2"/>
      <c r="T268" s="6"/>
    </row>
    <row r="269" spans="1:20">
      <c r="A269" s="30"/>
      <c r="H269" s="30"/>
      <c r="K269" s="31" t="str">
        <f t="shared" si="4"/>
        <v/>
      </c>
      <c r="S269" s="2"/>
      <c r="T269" s="6"/>
    </row>
    <row r="270" spans="1:20">
      <c r="A270" s="30"/>
      <c r="H270" s="30"/>
      <c r="K270" s="31" t="str">
        <f t="shared" si="4"/>
        <v/>
      </c>
      <c r="S270" s="2"/>
      <c r="T270" s="6"/>
    </row>
    <row r="271" spans="1:20">
      <c r="A271" s="30"/>
      <c r="H271" s="30"/>
      <c r="K271" s="31" t="str">
        <f t="shared" si="4"/>
        <v/>
      </c>
      <c r="S271" s="2"/>
      <c r="T271" s="6"/>
    </row>
    <row r="272" spans="1:20">
      <c r="A272" s="30"/>
      <c r="H272" s="30"/>
      <c r="K272" s="31" t="str">
        <f t="shared" si="4"/>
        <v/>
      </c>
      <c r="S272" s="2"/>
      <c r="T272" s="6"/>
    </row>
    <row r="273" spans="1:20">
      <c r="A273" s="30"/>
      <c r="H273" s="30"/>
      <c r="K273" s="31" t="str">
        <f t="shared" si="4"/>
        <v/>
      </c>
      <c r="S273" s="2"/>
      <c r="T273" s="6"/>
    </row>
    <row r="274" spans="1:20">
      <c r="A274" s="30"/>
      <c r="H274" s="30"/>
      <c r="K274" s="31" t="str">
        <f t="shared" si="4"/>
        <v/>
      </c>
      <c r="S274" s="2"/>
      <c r="T274" s="6"/>
    </row>
    <row r="275" spans="1:20">
      <c r="A275" s="30"/>
      <c r="H275" s="30"/>
      <c r="K275" s="31" t="str">
        <f t="shared" si="4"/>
        <v/>
      </c>
      <c r="S275" s="2"/>
      <c r="T275" s="6"/>
    </row>
    <row r="276" spans="1:20">
      <c r="A276" s="30"/>
      <c r="H276" s="30"/>
      <c r="K276" s="31" t="str">
        <f t="shared" si="4"/>
        <v/>
      </c>
      <c r="S276" s="2"/>
      <c r="T276" s="6"/>
    </row>
    <row r="277" spans="1:20">
      <c r="A277" s="30"/>
      <c r="H277" s="30"/>
      <c r="K277" s="31" t="str">
        <f t="shared" si="4"/>
        <v/>
      </c>
      <c r="S277" s="2"/>
      <c r="T277" s="6"/>
    </row>
    <row r="278" spans="1:20">
      <c r="A278" s="30"/>
      <c r="H278" s="30"/>
      <c r="K278" s="31" t="str">
        <f t="shared" si="4"/>
        <v/>
      </c>
      <c r="S278" s="2"/>
      <c r="T278" s="6"/>
    </row>
    <row r="279" spans="1:20">
      <c r="A279" s="30"/>
      <c r="H279" s="30"/>
      <c r="K279" s="31" t="str">
        <f t="shared" si="4"/>
        <v/>
      </c>
      <c r="S279" s="2"/>
      <c r="T279" s="6"/>
    </row>
    <row r="280" spans="1:20">
      <c r="A280" s="30"/>
      <c r="H280" s="30"/>
      <c r="K280" s="31" t="str">
        <f t="shared" si="4"/>
        <v/>
      </c>
      <c r="S280" s="2"/>
      <c r="T280" s="6"/>
    </row>
    <row r="281" spans="1:20">
      <c r="A281" s="30"/>
      <c r="H281" s="30"/>
      <c r="K281" s="31" t="str">
        <f t="shared" si="4"/>
        <v/>
      </c>
      <c r="S281" s="2"/>
      <c r="T281" s="6"/>
    </row>
    <row r="282" spans="1:20">
      <c r="A282" s="30"/>
      <c r="H282" s="30"/>
      <c r="K282" s="31" t="str">
        <f t="shared" si="4"/>
        <v/>
      </c>
      <c r="S282" s="2"/>
      <c r="T282" s="6"/>
    </row>
    <row r="283" spans="1:20">
      <c r="A283" s="30"/>
      <c r="H283" s="30"/>
      <c r="K283" s="31" t="str">
        <f t="shared" si="4"/>
        <v/>
      </c>
      <c r="S283" s="2"/>
      <c r="T283" s="6"/>
    </row>
    <row r="284" spans="1:20">
      <c r="A284" s="30"/>
      <c r="H284" s="30"/>
      <c r="K284" s="31" t="str">
        <f t="shared" si="4"/>
        <v/>
      </c>
      <c r="S284" s="2"/>
      <c r="T284" s="6"/>
    </row>
    <row r="285" spans="1:20">
      <c r="A285" s="30"/>
      <c r="H285" s="30"/>
      <c r="K285" s="31" t="str">
        <f t="shared" si="4"/>
        <v/>
      </c>
      <c r="S285" s="2"/>
      <c r="T285" s="6"/>
    </row>
    <row r="286" spans="1:20">
      <c r="A286" s="30"/>
      <c r="H286" s="30"/>
      <c r="K286" s="31" t="str">
        <f t="shared" si="4"/>
        <v/>
      </c>
      <c r="S286" s="2"/>
      <c r="T286" s="6"/>
    </row>
    <row r="287" spans="1:20">
      <c r="A287" s="30"/>
      <c r="H287" s="30"/>
      <c r="K287" s="31" t="str">
        <f t="shared" si="4"/>
        <v/>
      </c>
      <c r="S287" s="2"/>
      <c r="T287" s="6"/>
    </row>
    <row r="288" spans="1:20">
      <c r="A288" s="30"/>
      <c r="H288" s="30"/>
      <c r="K288" s="31" t="str">
        <f t="shared" si="4"/>
        <v/>
      </c>
      <c r="S288" s="2"/>
      <c r="T288" s="6"/>
    </row>
    <row r="289" spans="1:20">
      <c r="A289" s="30"/>
      <c r="H289" s="30"/>
      <c r="K289" s="31" t="str">
        <f t="shared" si="4"/>
        <v/>
      </c>
      <c r="S289" s="2"/>
      <c r="T289" s="6"/>
    </row>
    <row r="290" spans="1:20">
      <c r="A290" s="30"/>
      <c r="H290" s="30"/>
      <c r="K290" s="31" t="str">
        <f t="shared" si="4"/>
        <v/>
      </c>
      <c r="S290" s="2"/>
      <c r="T290" s="6"/>
    </row>
    <row r="291" spans="1:20">
      <c r="A291" s="30"/>
      <c r="H291" s="30"/>
      <c r="K291" s="31" t="str">
        <f t="shared" si="4"/>
        <v/>
      </c>
      <c r="S291" s="2"/>
      <c r="T291" s="6"/>
    </row>
    <row r="292" spans="1:20">
      <c r="A292" s="30"/>
      <c r="H292" s="30"/>
      <c r="K292" s="31" t="str">
        <f t="shared" si="4"/>
        <v/>
      </c>
      <c r="S292" s="2"/>
      <c r="T292" s="6"/>
    </row>
    <row r="293" spans="1:20">
      <c r="A293" s="30"/>
      <c r="H293" s="30"/>
      <c r="K293" s="31" t="str">
        <f t="shared" si="4"/>
        <v/>
      </c>
      <c r="S293" s="2"/>
      <c r="T293" s="6"/>
    </row>
    <row r="294" spans="1:20">
      <c r="A294" s="30"/>
      <c r="H294" s="30"/>
      <c r="K294" s="31" t="str">
        <f t="shared" si="4"/>
        <v/>
      </c>
      <c r="S294" s="2"/>
      <c r="T294" s="6"/>
    </row>
    <row r="295" spans="1:20">
      <c r="A295" s="30"/>
      <c r="H295" s="30"/>
      <c r="K295" s="31" t="str">
        <f t="shared" si="4"/>
        <v/>
      </c>
      <c r="S295" s="2"/>
      <c r="T295" s="6"/>
    </row>
    <row r="296" spans="1:20">
      <c r="A296" s="30"/>
      <c r="H296" s="30"/>
      <c r="K296" s="31" t="str">
        <f t="shared" si="4"/>
        <v/>
      </c>
      <c r="S296" s="2"/>
      <c r="T296" s="6"/>
    </row>
    <row r="297" spans="1:20">
      <c r="A297" s="30"/>
      <c r="H297" s="30"/>
      <c r="K297" s="31" t="str">
        <f t="shared" si="4"/>
        <v/>
      </c>
      <c r="S297" s="2"/>
      <c r="T297" s="6"/>
    </row>
    <row r="298" spans="1:20">
      <c r="A298" s="30"/>
      <c r="H298" s="30"/>
      <c r="K298" s="31" t="str">
        <f t="shared" si="4"/>
        <v/>
      </c>
      <c r="S298" s="2"/>
      <c r="T298" s="6"/>
    </row>
    <row r="299" spans="1:20">
      <c r="A299" s="30"/>
      <c r="H299" s="30"/>
      <c r="K299" s="31" t="str">
        <f t="shared" si="4"/>
        <v/>
      </c>
      <c r="S299" s="2"/>
      <c r="T299" s="6"/>
    </row>
    <row r="300" spans="1:20">
      <c r="A300" s="30"/>
      <c r="H300" s="30"/>
      <c r="K300" s="31" t="str">
        <f t="shared" si="4"/>
        <v/>
      </c>
      <c r="S300" s="2"/>
      <c r="T300" s="6"/>
    </row>
    <row r="301" spans="1:20">
      <c r="A301" s="30"/>
      <c r="H301" s="30"/>
      <c r="K301" s="31" t="str">
        <f t="shared" si="4"/>
        <v/>
      </c>
      <c r="S301" s="2"/>
      <c r="T301" s="6"/>
    </row>
    <row r="302" spans="1:20">
      <c r="A302" s="30"/>
      <c r="H302" s="30"/>
      <c r="K302" s="31" t="str">
        <f t="shared" si="4"/>
        <v/>
      </c>
      <c r="S302" s="2"/>
      <c r="T302" s="6"/>
    </row>
    <row r="303" spans="1:20">
      <c r="A303" s="30"/>
      <c r="H303" s="30"/>
      <c r="K303" s="31" t="str">
        <f t="shared" si="4"/>
        <v/>
      </c>
      <c r="S303" s="2"/>
      <c r="T303" s="6"/>
    </row>
    <row r="304" spans="1:20">
      <c r="A304" s="30"/>
      <c r="H304" s="30"/>
      <c r="K304" s="31" t="str">
        <f t="shared" si="4"/>
        <v/>
      </c>
      <c r="S304" s="2"/>
      <c r="T304" s="6"/>
    </row>
    <row r="305" spans="1:20">
      <c r="A305" s="30"/>
      <c r="H305" s="30"/>
      <c r="K305" s="31" t="str">
        <f t="shared" si="4"/>
        <v/>
      </c>
      <c r="S305" s="2"/>
      <c r="T305" s="6"/>
    </row>
    <row r="306" spans="1:20">
      <c r="A306" s="30"/>
      <c r="H306" s="30"/>
      <c r="K306" s="31" t="str">
        <f t="shared" si="4"/>
        <v/>
      </c>
      <c r="S306" s="2"/>
      <c r="T306" s="6"/>
    </row>
    <row r="307" spans="1:20">
      <c r="A307" s="30"/>
      <c r="H307" s="30"/>
      <c r="K307" s="31" t="str">
        <f t="shared" si="4"/>
        <v/>
      </c>
      <c r="S307" s="2"/>
      <c r="T307" s="6"/>
    </row>
    <row r="308" spans="1:20">
      <c r="A308" s="30"/>
      <c r="H308" s="30"/>
      <c r="K308" s="31" t="str">
        <f t="shared" si="4"/>
        <v/>
      </c>
      <c r="S308" s="2"/>
      <c r="T308" s="6"/>
    </row>
    <row r="309" spans="1:20">
      <c r="A309" s="30"/>
      <c r="H309" s="30"/>
      <c r="K309" s="31" t="str">
        <f t="shared" si="4"/>
        <v/>
      </c>
      <c r="S309" s="2"/>
      <c r="T309" s="6"/>
    </row>
    <row r="310" spans="1:20">
      <c r="A310" s="30"/>
      <c r="H310" s="30"/>
      <c r="K310" s="31" t="str">
        <f t="shared" si="4"/>
        <v/>
      </c>
      <c r="S310" s="2"/>
      <c r="T310" s="6"/>
    </row>
    <row r="311" spans="1:20">
      <c r="A311" s="30"/>
      <c r="H311" s="30"/>
      <c r="K311" s="31" t="str">
        <f t="shared" si="4"/>
        <v/>
      </c>
      <c r="S311" s="2"/>
      <c r="T311" s="6"/>
    </row>
    <row r="312" spans="1:20">
      <c r="A312" s="30"/>
      <c r="H312" s="30"/>
      <c r="K312" s="31" t="str">
        <f t="shared" si="4"/>
        <v/>
      </c>
      <c r="S312" s="2"/>
      <c r="T312" s="6"/>
    </row>
    <row r="313" spans="1:20">
      <c r="A313" s="30"/>
      <c r="H313" s="30"/>
      <c r="K313" s="31" t="str">
        <f t="shared" si="4"/>
        <v/>
      </c>
      <c r="S313" s="2"/>
      <c r="T313" s="6"/>
    </row>
    <row r="314" spans="1:20">
      <c r="A314" s="30"/>
      <c r="H314" s="30"/>
      <c r="K314" s="31" t="str">
        <f t="shared" si="4"/>
        <v/>
      </c>
      <c r="S314" s="2"/>
      <c r="T314" s="6"/>
    </row>
    <row r="315" spans="1:20">
      <c r="A315" s="30"/>
      <c r="H315" s="30"/>
      <c r="K315" s="31" t="str">
        <f t="shared" si="4"/>
        <v/>
      </c>
      <c r="S315" s="2"/>
      <c r="T315" s="6"/>
    </row>
    <row r="316" spans="1:20">
      <c r="A316" s="30"/>
      <c r="H316" s="30"/>
      <c r="K316" s="31" t="str">
        <f t="shared" si="4"/>
        <v/>
      </c>
      <c r="S316" s="2"/>
      <c r="T316" s="6"/>
    </row>
    <row r="317" spans="1:20">
      <c r="A317" s="30"/>
      <c r="H317" s="30"/>
      <c r="K317" s="31" t="str">
        <f t="shared" si="4"/>
        <v/>
      </c>
      <c r="S317" s="2"/>
      <c r="T317" s="6"/>
    </row>
    <row r="318" spans="1:20">
      <c r="A318" s="30"/>
      <c r="H318" s="30"/>
      <c r="K318" s="31" t="str">
        <f t="shared" si="4"/>
        <v/>
      </c>
      <c r="S318" s="2"/>
      <c r="T318" s="6"/>
    </row>
    <row r="319" spans="1:20">
      <c r="A319" s="30"/>
      <c r="H319" s="30"/>
      <c r="K319" s="31" t="str">
        <f t="shared" si="4"/>
        <v/>
      </c>
      <c r="S319" s="2"/>
      <c r="T319" s="6"/>
    </row>
    <row r="320" spans="1:20">
      <c r="A320" s="30"/>
      <c r="H320" s="30"/>
      <c r="K320" s="31" t="str">
        <f t="shared" si="4"/>
        <v/>
      </c>
      <c r="S320" s="2"/>
      <c r="T320" s="6"/>
    </row>
    <row r="321" spans="1:20">
      <c r="A321" s="30"/>
      <c r="H321" s="30"/>
      <c r="K321" s="31" t="str">
        <f t="shared" si="4"/>
        <v/>
      </c>
      <c r="S321" s="2"/>
      <c r="T321" s="6"/>
    </row>
    <row r="322" spans="1:20">
      <c r="A322" s="30"/>
      <c r="H322" s="30"/>
      <c r="K322" s="31" t="str">
        <f t="shared" ref="K322:K385" si="5">IF(OR(A322="",B322=""),"",A322-WEEKDAY(A322,2)+1)</f>
        <v/>
      </c>
      <c r="S322" s="2"/>
      <c r="T322" s="6"/>
    </row>
    <row r="323" spans="1:20">
      <c r="A323" s="30"/>
      <c r="H323" s="30"/>
      <c r="K323" s="31" t="str">
        <f t="shared" si="5"/>
        <v/>
      </c>
      <c r="S323" s="2"/>
      <c r="T323" s="6"/>
    </row>
    <row r="324" spans="1:20">
      <c r="A324" s="30"/>
      <c r="H324" s="30"/>
      <c r="K324" s="31" t="str">
        <f t="shared" si="5"/>
        <v/>
      </c>
      <c r="S324" s="2"/>
      <c r="T324" s="6"/>
    </row>
    <row r="325" spans="1:20">
      <c r="A325" s="30"/>
      <c r="H325" s="30"/>
      <c r="K325" s="31" t="str">
        <f t="shared" si="5"/>
        <v/>
      </c>
      <c r="S325" s="2"/>
      <c r="T325" s="6"/>
    </row>
    <row r="326" spans="1:20">
      <c r="A326" s="30"/>
      <c r="H326" s="30"/>
      <c r="K326" s="31" t="str">
        <f t="shared" si="5"/>
        <v/>
      </c>
      <c r="S326" s="2"/>
      <c r="T326" s="6"/>
    </row>
    <row r="327" spans="1:20">
      <c r="A327" s="30"/>
      <c r="H327" s="30"/>
      <c r="K327" s="31" t="str">
        <f t="shared" si="5"/>
        <v/>
      </c>
      <c r="S327" s="2"/>
      <c r="T327" s="6"/>
    </row>
    <row r="328" spans="1:20">
      <c r="A328" s="30"/>
      <c r="H328" s="30"/>
      <c r="K328" s="31" t="str">
        <f t="shared" si="5"/>
        <v/>
      </c>
      <c r="S328" s="2"/>
      <c r="T328" s="6"/>
    </row>
    <row r="329" spans="1:20">
      <c r="A329" s="30"/>
      <c r="H329" s="30"/>
      <c r="K329" s="31" t="str">
        <f t="shared" si="5"/>
        <v/>
      </c>
      <c r="S329" s="2"/>
      <c r="T329" s="6"/>
    </row>
    <row r="330" spans="1:20">
      <c r="A330" s="30"/>
      <c r="H330" s="30"/>
      <c r="K330" s="31" t="str">
        <f t="shared" si="5"/>
        <v/>
      </c>
      <c r="S330" s="2"/>
      <c r="T330" s="6"/>
    </row>
    <row r="331" spans="1:20">
      <c r="A331" s="30"/>
      <c r="H331" s="30"/>
      <c r="K331" s="31" t="str">
        <f t="shared" si="5"/>
        <v/>
      </c>
      <c r="S331" s="2"/>
      <c r="T331" s="6"/>
    </row>
    <row r="332" spans="1:20">
      <c r="A332" s="30"/>
      <c r="H332" s="30"/>
      <c r="K332" s="31" t="str">
        <f t="shared" si="5"/>
        <v/>
      </c>
      <c r="S332" s="2"/>
      <c r="T332" s="6"/>
    </row>
    <row r="333" spans="1:20">
      <c r="A333" s="30"/>
      <c r="H333" s="30"/>
      <c r="K333" s="31" t="str">
        <f t="shared" si="5"/>
        <v/>
      </c>
      <c r="S333" s="2"/>
      <c r="T333" s="6"/>
    </row>
    <row r="334" spans="1:20">
      <c r="A334" s="30"/>
      <c r="H334" s="30"/>
      <c r="K334" s="31" t="str">
        <f t="shared" si="5"/>
        <v/>
      </c>
      <c r="S334" s="2"/>
      <c r="T334" s="6"/>
    </row>
    <row r="335" spans="1:20">
      <c r="A335" s="30"/>
      <c r="H335" s="30"/>
      <c r="K335" s="31" t="str">
        <f t="shared" si="5"/>
        <v/>
      </c>
      <c r="S335" s="2"/>
      <c r="T335" s="6"/>
    </row>
    <row r="336" spans="1:20">
      <c r="A336" s="30"/>
      <c r="H336" s="30"/>
      <c r="K336" s="31" t="str">
        <f t="shared" si="5"/>
        <v/>
      </c>
      <c r="S336" s="2"/>
      <c r="T336" s="6"/>
    </row>
    <row r="337" spans="1:20">
      <c r="A337" s="30"/>
      <c r="H337" s="30"/>
      <c r="K337" s="31" t="str">
        <f t="shared" si="5"/>
        <v/>
      </c>
      <c r="S337" s="2"/>
      <c r="T337" s="6"/>
    </row>
    <row r="338" spans="1:20">
      <c r="A338" s="30"/>
      <c r="H338" s="30"/>
      <c r="K338" s="31" t="str">
        <f t="shared" si="5"/>
        <v/>
      </c>
      <c r="S338" s="2"/>
      <c r="T338" s="6"/>
    </row>
    <row r="339" spans="1:20">
      <c r="A339" s="30"/>
      <c r="H339" s="30"/>
      <c r="K339" s="31" t="str">
        <f t="shared" si="5"/>
        <v/>
      </c>
      <c r="S339" s="2"/>
      <c r="T339" s="6"/>
    </row>
    <row r="340" spans="1:20">
      <c r="A340" s="30"/>
      <c r="H340" s="30"/>
      <c r="K340" s="31" t="str">
        <f t="shared" si="5"/>
        <v/>
      </c>
      <c r="S340" s="2"/>
      <c r="T340" s="6"/>
    </row>
    <row r="341" spans="1:20">
      <c r="A341" s="30"/>
      <c r="H341" s="30"/>
      <c r="K341" s="31" t="str">
        <f t="shared" si="5"/>
        <v/>
      </c>
      <c r="S341" s="2"/>
      <c r="T341" s="6"/>
    </row>
    <row r="342" spans="1:20">
      <c r="A342" s="30"/>
      <c r="H342" s="30"/>
      <c r="K342" s="31" t="str">
        <f t="shared" si="5"/>
        <v/>
      </c>
      <c r="S342" s="2"/>
      <c r="T342" s="6"/>
    </row>
    <row r="343" spans="1:20">
      <c r="A343" s="30"/>
      <c r="H343" s="30"/>
      <c r="K343" s="31" t="str">
        <f t="shared" si="5"/>
        <v/>
      </c>
      <c r="S343" s="2"/>
      <c r="T343" s="6"/>
    </row>
    <row r="344" spans="1:20">
      <c r="A344" s="30"/>
      <c r="H344" s="30"/>
      <c r="K344" s="31" t="str">
        <f t="shared" si="5"/>
        <v/>
      </c>
      <c r="S344" s="2"/>
      <c r="T344" s="6"/>
    </row>
    <row r="345" spans="1:20">
      <c r="A345" s="30"/>
      <c r="H345" s="30"/>
      <c r="K345" s="31" t="str">
        <f t="shared" si="5"/>
        <v/>
      </c>
      <c r="S345" s="2"/>
      <c r="T345" s="6"/>
    </row>
    <row r="346" spans="1:20">
      <c r="A346" s="30"/>
      <c r="H346" s="30"/>
      <c r="K346" s="31" t="str">
        <f t="shared" si="5"/>
        <v/>
      </c>
      <c r="S346" s="2"/>
      <c r="T346" s="6"/>
    </row>
    <row r="347" spans="1:20">
      <c r="A347" s="30"/>
      <c r="H347" s="30"/>
      <c r="K347" s="31" t="str">
        <f t="shared" si="5"/>
        <v/>
      </c>
      <c r="S347" s="2"/>
      <c r="T347" s="6"/>
    </row>
    <row r="348" spans="1:20">
      <c r="A348" s="30"/>
      <c r="H348" s="30"/>
      <c r="K348" s="31" t="str">
        <f t="shared" si="5"/>
        <v/>
      </c>
      <c r="S348" s="2"/>
      <c r="T348" s="6"/>
    </row>
    <row r="349" spans="1:20">
      <c r="A349" s="30"/>
      <c r="H349" s="30"/>
      <c r="K349" s="31" t="str">
        <f t="shared" si="5"/>
        <v/>
      </c>
      <c r="S349" s="2"/>
      <c r="T349" s="6"/>
    </row>
    <row r="350" spans="1:20">
      <c r="A350" s="30"/>
      <c r="H350" s="30"/>
      <c r="K350" s="31" t="str">
        <f t="shared" si="5"/>
        <v/>
      </c>
      <c r="S350" s="2"/>
      <c r="T350" s="6"/>
    </row>
    <row r="351" spans="1:20">
      <c r="A351" s="30"/>
      <c r="H351" s="30"/>
      <c r="K351" s="31" t="str">
        <f t="shared" si="5"/>
        <v/>
      </c>
      <c r="S351" s="2"/>
      <c r="T351" s="6"/>
    </row>
    <row r="352" spans="1:20">
      <c r="A352" s="30"/>
      <c r="H352" s="30"/>
      <c r="K352" s="31" t="str">
        <f t="shared" si="5"/>
        <v/>
      </c>
      <c r="S352" s="2"/>
      <c r="T352" s="6"/>
    </row>
    <row r="353" spans="1:20">
      <c r="A353" s="30"/>
      <c r="H353" s="30"/>
      <c r="K353" s="31" t="str">
        <f t="shared" si="5"/>
        <v/>
      </c>
      <c r="S353" s="2"/>
      <c r="T353" s="6"/>
    </row>
    <row r="354" spans="1:20">
      <c r="A354" s="30"/>
      <c r="H354" s="30"/>
      <c r="K354" s="31" t="str">
        <f t="shared" si="5"/>
        <v/>
      </c>
      <c r="S354" s="2"/>
      <c r="T354" s="6"/>
    </row>
    <row r="355" spans="1:20">
      <c r="A355" s="30"/>
      <c r="H355" s="30"/>
      <c r="K355" s="31" t="str">
        <f t="shared" si="5"/>
        <v/>
      </c>
      <c r="S355" s="2"/>
      <c r="T355" s="6"/>
    </row>
    <row r="356" spans="1:20">
      <c r="A356" s="30"/>
      <c r="H356" s="30"/>
      <c r="K356" s="31" t="str">
        <f t="shared" si="5"/>
        <v/>
      </c>
      <c r="S356" s="2"/>
      <c r="T356" s="6"/>
    </row>
    <row r="357" spans="1:20">
      <c r="A357" s="30"/>
      <c r="H357" s="30"/>
      <c r="K357" s="31" t="str">
        <f t="shared" si="5"/>
        <v/>
      </c>
      <c r="S357" s="2"/>
      <c r="T357" s="6"/>
    </row>
    <row r="358" spans="1:20">
      <c r="A358" s="30"/>
      <c r="H358" s="30"/>
      <c r="K358" s="31" t="str">
        <f t="shared" si="5"/>
        <v/>
      </c>
      <c r="S358" s="2"/>
      <c r="T358" s="6"/>
    </row>
    <row r="359" spans="1:20">
      <c r="A359" s="30"/>
      <c r="H359" s="30"/>
      <c r="K359" s="31" t="str">
        <f t="shared" si="5"/>
        <v/>
      </c>
      <c r="S359" s="2"/>
      <c r="T359" s="6"/>
    </row>
    <row r="360" spans="1:20">
      <c r="A360" s="30"/>
      <c r="H360" s="30"/>
      <c r="K360" s="31" t="str">
        <f t="shared" si="5"/>
        <v/>
      </c>
      <c r="S360" s="2"/>
      <c r="T360" s="6"/>
    </row>
    <row r="361" spans="1:20">
      <c r="A361" s="30"/>
      <c r="H361" s="30"/>
      <c r="K361" s="31" t="str">
        <f t="shared" si="5"/>
        <v/>
      </c>
      <c r="S361" s="2"/>
      <c r="T361" s="6"/>
    </row>
    <row r="362" spans="1:20">
      <c r="A362" s="30"/>
      <c r="H362" s="30"/>
      <c r="K362" s="31" t="str">
        <f t="shared" si="5"/>
        <v/>
      </c>
      <c r="S362" s="2"/>
      <c r="T362" s="6"/>
    </row>
    <row r="363" spans="1:20">
      <c r="A363" s="30"/>
      <c r="H363" s="30"/>
      <c r="K363" s="31" t="str">
        <f t="shared" si="5"/>
        <v/>
      </c>
      <c r="S363" s="2"/>
      <c r="T363" s="6"/>
    </row>
    <row r="364" spans="1:20">
      <c r="A364" s="30"/>
      <c r="H364" s="30"/>
      <c r="K364" s="31" t="str">
        <f t="shared" si="5"/>
        <v/>
      </c>
      <c r="S364" s="2"/>
      <c r="T364" s="6"/>
    </row>
    <row r="365" spans="1:20">
      <c r="A365" s="30"/>
      <c r="H365" s="30"/>
      <c r="K365" s="31" t="str">
        <f t="shared" si="5"/>
        <v/>
      </c>
      <c r="S365" s="2"/>
      <c r="T365" s="6"/>
    </row>
    <row r="366" spans="1:20">
      <c r="A366" s="30"/>
      <c r="H366" s="30"/>
      <c r="K366" s="31" t="str">
        <f t="shared" si="5"/>
        <v/>
      </c>
      <c r="S366" s="2"/>
      <c r="T366" s="6"/>
    </row>
    <row r="367" spans="1:20">
      <c r="A367" s="30"/>
      <c r="H367" s="30"/>
      <c r="K367" s="31" t="str">
        <f t="shared" si="5"/>
        <v/>
      </c>
      <c r="S367" s="2"/>
      <c r="T367" s="6"/>
    </row>
    <row r="368" spans="1:20">
      <c r="A368" s="30"/>
      <c r="H368" s="30"/>
      <c r="K368" s="31" t="str">
        <f t="shared" si="5"/>
        <v/>
      </c>
      <c r="S368" s="2"/>
      <c r="T368" s="6"/>
    </row>
    <row r="369" spans="1:20">
      <c r="A369" s="30"/>
      <c r="H369" s="30"/>
      <c r="K369" s="31" t="str">
        <f t="shared" si="5"/>
        <v/>
      </c>
      <c r="S369" s="2"/>
      <c r="T369" s="6"/>
    </row>
    <row r="370" spans="1:20">
      <c r="A370" s="30"/>
      <c r="H370" s="30"/>
      <c r="K370" s="31" t="str">
        <f t="shared" si="5"/>
        <v/>
      </c>
      <c r="S370" s="2"/>
      <c r="T370" s="6"/>
    </row>
    <row r="371" spans="1:20">
      <c r="A371" s="30"/>
      <c r="H371" s="30"/>
      <c r="K371" s="31" t="str">
        <f t="shared" si="5"/>
        <v/>
      </c>
      <c r="S371" s="2"/>
      <c r="T371" s="6"/>
    </row>
    <row r="372" spans="1:20">
      <c r="A372" s="30"/>
      <c r="H372" s="30"/>
      <c r="K372" s="31" t="str">
        <f t="shared" si="5"/>
        <v/>
      </c>
      <c r="S372" s="2"/>
      <c r="T372" s="6"/>
    </row>
    <row r="373" spans="1:20">
      <c r="A373" s="30"/>
      <c r="H373" s="30"/>
      <c r="K373" s="31" t="str">
        <f t="shared" si="5"/>
        <v/>
      </c>
      <c r="S373" s="2"/>
      <c r="T373" s="6"/>
    </row>
    <row r="374" spans="1:20">
      <c r="A374" s="30"/>
      <c r="H374" s="30"/>
      <c r="K374" s="31" t="str">
        <f t="shared" si="5"/>
        <v/>
      </c>
      <c r="S374" s="2"/>
      <c r="T374" s="6"/>
    </row>
    <row r="375" spans="1:20">
      <c r="A375" s="30"/>
      <c r="H375" s="30"/>
      <c r="K375" s="31" t="str">
        <f t="shared" si="5"/>
        <v/>
      </c>
      <c r="S375" s="2"/>
      <c r="T375" s="6"/>
    </row>
    <row r="376" spans="1:20">
      <c r="A376" s="30"/>
      <c r="H376" s="30"/>
      <c r="K376" s="31" t="str">
        <f t="shared" si="5"/>
        <v/>
      </c>
      <c r="S376" s="2"/>
      <c r="T376" s="6"/>
    </row>
    <row r="377" spans="1:20">
      <c r="A377" s="30"/>
      <c r="H377" s="30"/>
      <c r="K377" s="31" t="str">
        <f t="shared" si="5"/>
        <v/>
      </c>
      <c r="S377" s="2"/>
      <c r="T377" s="6"/>
    </row>
    <row r="378" spans="1:20">
      <c r="A378" s="30"/>
      <c r="H378" s="30"/>
      <c r="K378" s="31" t="str">
        <f t="shared" si="5"/>
        <v/>
      </c>
      <c r="S378" s="2"/>
      <c r="T378" s="6"/>
    </row>
    <row r="379" spans="1:20">
      <c r="A379" s="30"/>
      <c r="H379" s="30"/>
      <c r="K379" s="31" t="str">
        <f t="shared" si="5"/>
        <v/>
      </c>
      <c r="S379" s="2"/>
      <c r="T379" s="6"/>
    </row>
    <row r="380" spans="1:20">
      <c r="A380" s="30"/>
      <c r="H380" s="30"/>
      <c r="K380" s="31" t="str">
        <f t="shared" si="5"/>
        <v/>
      </c>
      <c r="S380" s="2"/>
      <c r="T380" s="6"/>
    </row>
    <row r="381" spans="1:20">
      <c r="A381" s="30"/>
      <c r="H381" s="30"/>
      <c r="K381" s="31" t="str">
        <f t="shared" si="5"/>
        <v/>
      </c>
      <c r="S381" s="2"/>
      <c r="T381" s="6"/>
    </row>
    <row r="382" spans="1:20">
      <c r="A382" s="30"/>
      <c r="H382" s="30"/>
      <c r="K382" s="31" t="str">
        <f t="shared" si="5"/>
        <v/>
      </c>
      <c r="S382" s="2"/>
      <c r="T382" s="6"/>
    </row>
    <row r="383" spans="1:20">
      <c r="A383" s="30"/>
      <c r="H383" s="30"/>
      <c r="K383" s="31" t="str">
        <f t="shared" si="5"/>
        <v/>
      </c>
      <c r="S383" s="2"/>
      <c r="T383" s="6"/>
    </row>
    <row r="384" spans="1:20">
      <c r="A384" s="30"/>
      <c r="H384" s="30"/>
      <c r="K384" s="31" t="str">
        <f t="shared" si="5"/>
        <v/>
      </c>
      <c r="S384" s="2"/>
      <c r="T384" s="6"/>
    </row>
    <row r="385" spans="1:20">
      <c r="A385" s="30"/>
      <c r="H385" s="30"/>
      <c r="K385" s="31" t="str">
        <f t="shared" si="5"/>
        <v/>
      </c>
      <c r="S385" s="2"/>
      <c r="T385" s="6"/>
    </row>
    <row r="386" spans="1:20">
      <c r="A386" s="30"/>
      <c r="H386" s="30"/>
      <c r="K386" s="31" t="str">
        <f t="shared" ref="K386:K449" si="6">IF(OR(A386="",B386=""),"",A386-WEEKDAY(A386,2)+1)</f>
        <v/>
      </c>
      <c r="S386" s="2"/>
      <c r="T386" s="6"/>
    </row>
    <row r="387" spans="1:20">
      <c r="A387" s="30"/>
      <c r="H387" s="30"/>
      <c r="K387" s="31" t="str">
        <f t="shared" si="6"/>
        <v/>
      </c>
      <c r="S387" s="2"/>
      <c r="T387" s="6"/>
    </row>
    <row r="388" spans="1:20">
      <c r="A388" s="30"/>
      <c r="H388" s="30"/>
      <c r="K388" s="31" t="str">
        <f t="shared" si="6"/>
        <v/>
      </c>
      <c r="S388" s="2"/>
      <c r="T388" s="6"/>
    </row>
    <row r="389" spans="1:20">
      <c r="A389" s="30"/>
      <c r="H389" s="30"/>
      <c r="K389" s="31" t="str">
        <f t="shared" si="6"/>
        <v/>
      </c>
      <c r="S389" s="2"/>
      <c r="T389" s="6"/>
    </row>
    <row r="390" spans="1:20">
      <c r="A390" s="30"/>
      <c r="H390" s="30"/>
      <c r="K390" s="31" t="str">
        <f t="shared" si="6"/>
        <v/>
      </c>
      <c r="S390" s="2"/>
      <c r="T390" s="6"/>
    </row>
    <row r="391" spans="1:20">
      <c r="A391" s="30"/>
      <c r="H391" s="30"/>
      <c r="K391" s="31" t="str">
        <f t="shared" si="6"/>
        <v/>
      </c>
      <c r="S391" s="2"/>
      <c r="T391" s="6"/>
    </row>
    <row r="392" spans="1:20">
      <c r="A392" s="30"/>
      <c r="H392" s="30"/>
      <c r="K392" s="31" t="str">
        <f t="shared" si="6"/>
        <v/>
      </c>
      <c r="S392" s="2"/>
      <c r="T392" s="6"/>
    </row>
    <row r="393" spans="1:20">
      <c r="A393" s="30"/>
      <c r="H393" s="30"/>
      <c r="K393" s="31" t="str">
        <f t="shared" si="6"/>
        <v/>
      </c>
      <c r="S393" s="2"/>
      <c r="T393" s="6"/>
    </row>
    <row r="394" spans="1:20">
      <c r="A394" s="30"/>
      <c r="H394" s="30"/>
      <c r="K394" s="31" t="str">
        <f t="shared" si="6"/>
        <v/>
      </c>
      <c r="S394" s="2"/>
      <c r="T394" s="6"/>
    </row>
    <row r="395" spans="1:20">
      <c r="A395" s="30"/>
      <c r="H395" s="30"/>
      <c r="K395" s="31" t="str">
        <f t="shared" si="6"/>
        <v/>
      </c>
      <c r="S395" s="2"/>
      <c r="T395" s="6"/>
    </row>
    <row r="396" spans="1:20">
      <c r="A396" s="30"/>
      <c r="H396" s="30"/>
      <c r="K396" s="31" t="str">
        <f t="shared" si="6"/>
        <v/>
      </c>
      <c r="S396" s="2"/>
      <c r="T396" s="6"/>
    </row>
    <row r="397" spans="1:20">
      <c r="A397" s="30"/>
      <c r="H397" s="30"/>
      <c r="K397" s="31" t="str">
        <f t="shared" si="6"/>
        <v/>
      </c>
      <c r="S397" s="2"/>
      <c r="T397" s="6"/>
    </row>
    <row r="398" spans="1:20">
      <c r="A398" s="30"/>
      <c r="H398" s="30"/>
      <c r="K398" s="31" t="str">
        <f t="shared" si="6"/>
        <v/>
      </c>
      <c r="S398" s="2"/>
      <c r="T398" s="6"/>
    </row>
    <row r="399" spans="1:20">
      <c r="A399" s="30"/>
      <c r="H399" s="30"/>
      <c r="K399" s="31" t="str">
        <f t="shared" si="6"/>
        <v/>
      </c>
      <c r="S399" s="2"/>
      <c r="T399" s="6"/>
    </row>
    <row r="400" spans="1:20">
      <c r="A400" s="30"/>
      <c r="H400" s="30"/>
      <c r="K400" s="31" t="str">
        <f t="shared" si="6"/>
        <v/>
      </c>
      <c r="S400" s="2"/>
      <c r="T400" s="6"/>
    </row>
    <row r="401" spans="1:20">
      <c r="A401" s="30"/>
      <c r="H401" s="30"/>
      <c r="K401" s="31" t="str">
        <f t="shared" si="6"/>
        <v/>
      </c>
      <c r="S401" s="2"/>
      <c r="T401" s="6"/>
    </row>
    <row r="402" spans="1:20">
      <c r="A402" s="30"/>
      <c r="H402" s="30"/>
      <c r="K402" s="31" t="str">
        <f t="shared" si="6"/>
        <v/>
      </c>
      <c r="S402" s="2"/>
      <c r="T402" s="6"/>
    </row>
    <row r="403" spans="1:20">
      <c r="A403" s="30"/>
      <c r="H403" s="30"/>
      <c r="K403" s="31" t="str">
        <f t="shared" si="6"/>
        <v/>
      </c>
      <c r="S403" s="2"/>
      <c r="T403" s="6"/>
    </row>
    <row r="404" spans="1:20">
      <c r="A404" s="30"/>
      <c r="H404" s="30"/>
      <c r="K404" s="31" t="str">
        <f t="shared" si="6"/>
        <v/>
      </c>
      <c r="S404" s="2"/>
      <c r="T404" s="6"/>
    </row>
    <row r="405" spans="1:20">
      <c r="A405" s="30"/>
      <c r="H405" s="30"/>
      <c r="K405" s="31" t="str">
        <f t="shared" si="6"/>
        <v/>
      </c>
      <c r="S405" s="2"/>
      <c r="T405" s="6"/>
    </row>
    <row r="406" spans="1:20">
      <c r="A406" s="30"/>
      <c r="H406" s="30"/>
      <c r="K406" s="31" t="str">
        <f t="shared" si="6"/>
        <v/>
      </c>
      <c r="S406" s="2"/>
      <c r="T406" s="6"/>
    </row>
    <row r="407" spans="1:20">
      <c r="A407" s="30"/>
      <c r="H407" s="30"/>
      <c r="K407" s="31" t="str">
        <f t="shared" si="6"/>
        <v/>
      </c>
      <c r="S407" s="2"/>
      <c r="T407" s="6"/>
    </row>
    <row r="408" spans="1:20">
      <c r="A408" s="30"/>
      <c r="H408" s="30"/>
      <c r="K408" s="31" t="str">
        <f t="shared" si="6"/>
        <v/>
      </c>
      <c r="S408" s="2"/>
      <c r="T408" s="6"/>
    </row>
    <row r="409" spans="1:20">
      <c r="A409" s="30"/>
      <c r="H409" s="30"/>
      <c r="K409" s="31" t="str">
        <f t="shared" si="6"/>
        <v/>
      </c>
      <c r="S409" s="2"/>
      <c r="T409" s="6"/>
    </row>
    <row r="410" spans="1:20">
      <c r="A410" s="30"/>
      <c r="H410" s="30"/>
      <c r="K410" s="31" t="str">
        <f t="shared" si="6"/>
        <v/>
      </c>
      <c r="S410" s="2"/>
      <c r="T410" s="6"/>
    </row>
    <row r="411" spans="1:20">
      <c r="A411" s="30"/>
      <c r="H411" s="30"/>
      <c r="K411" s="31" t="str">
        <f t="shared" si="6"/>
        <v/>
      </c>
      <c r="S411" s="2"/>
      <c r="T411" s="6"/>
    </row>
    <row r="412" spans="1:20">
      <c r="A412" s="30"/>
      <c r="H412" s="30"/>
      <c r="K412" s="31" t="str">
        <f t="shared" si="6"/>
        <v/>
      </c>
      <c r="S412" s="2"/>
      <c r="T412" s="6"/>
    </row>
    <row r="413" spans="1:20">
      <c r="A413" s="30"/>
      <c r="H413" s="30"/>
      <c r="K413" s="31" t="str">
        <f t="shared" si="6"/>
        <v/>
      </c>
      <c r="S413" s="2"/>
      <c r="T413" s="6"/>
    </row>
    <row r="414" spans="1:20">
      <c r="A414" s="30"/>
      <c r="H414" s="30"/>
      <c r="K414" s="31" t="str">
        <f t="shared" si="6"/>
        <v/>
      </c>
      <c r="S414" s="2"/>
      <c r="T414" s="6"/>
    </row>
    <row r="415" spans="1:20">
      <c r="A415" s="30"/>
      <c r="H415" s="30"/>
      <c r="K415" s="31" t="str">
        <f t="shared" si="6"/>
        <v/>
      </c>
      <c r="S415" s="2"/>
      <c r="T415" s="6"/>
    </row>
    <row r="416" spans="1:20">
      <c r="A416" s="30"/>
      <c r="H416" s="30"/>
      <c r="K416" s="31" t="str">
        <f t="shared" si="6"/>
        <v/>
      </c>
      <c r="S416" s="2"/>
      <c r="T416" s="6"/>
    </row>
    <row r="417" spans="1:20">
      <c r="A417" s="30"/>
      <c r="H417" s="30"/>
      <c r="K417" s="31" t="str">
        <f t="shared" si="6"/>
        <v/>
      </c>
      <c r="S417" s="2"/>
      <c r="T417" s="6"/>
    </row>
    <row r="418" spans="1:20">
      <c r="A418" s="30"/>
      <c r="H418" s="30"/>
      <c r="K418" s="31" t="str">
        <f t="shared" si="6"/>
        <v/>
      </c>
      <c r="S418" s="2"/>
      <c r="T418" s="6"/>
    </row>
    <row r="419" spans="1:20">
      <c r="A419" s="30"/>
      <c r="H419" s="30"/>
      <c r="K419" s="31" t="str">
        <f t="shared" si="6"/>
        <v/>
      </c>
      <c r="S419" s="2"/>
      <c r="T419" s="6"/>
    </row>
    <row r="420" spans="1:20">
      <c r="A420" s="30"/>
      <c r="H420" s="30"/>
      <c r="K420" s="31" t="str">
        <f t="shared" si="6"/>
        <v/>
      </c>
      <c r="S420" s="2"/>
      <c r="T420" s="6"/>
    </row>
    <row r="421" spans="1:20">
      <c r="A421" s="30"/>
      <c r="H421" s="30"/>
      <c r="K421" s="31" t="str">
        <f t="shared" si="6"/>
        <v/>
      </c>
      <c r="S421" s="2"/>
      <c r="T421" s="6"/>
    </row>
    <row r="422" spans="1:20">
      <c r="A422" s="30"/>
      <c r="H422" s="30"/>
      <c r="K422" s="31" t="str">
        <f t="shared" si="6"/>
        <v/>
      </c>
      <c r="S422" s="2"/>
      <c r="T422" s="6"/>
    </row>
    <row r="423" spans="1:20">
      <c r="A423" s="30"/>
      <c r="H423" s="30"/>
      <c r="K423" s="31" t="str">
        <f t="shared" si="6"/>
        <v/>
      </c>
      <c r="S423" s="2"/>
      <c r="T423" s="6"/>
    </row>
    <row r="424" spans="1:20">
      <c r="A424" s="30"/>
      <c r="H424" s="30"/>
      <c r="K424" s="31" t="str">
        <f t="shared" si="6"/>
        <v/>
      </c>
      <c r="S424" s="2"/>
      <c r="T424" s="6"/>
    </row>
    <row r="425" spans="1:20">
      <c r="A425" s="30"/>
      <c r="H425" s="30"/>
      <c r="K425" s="31" t="str">
        <f t="shared" si="6"/>
        <v/>
      </c>
      <c r="S425" s="2"/>
      <c r="T425" s="6"/>
    </row>
    <row r="426" spans="1:20">
      <c r="A426" s="30"/>
      <c r="H426" s="30"/>
      <c r="K426" s="31" t="str">
        <f t="shared" si="6"/>
        <v/>
      </c>
      <c r="S426" s="2"/>
      <c r="T426" s="6"/>
    </row>
    <row r="427" spans="1:20">
      <c r="A427" s="30"/>
      <c r="H427" s="30"/>
      <c r="K427" s="31" t="str">
        <f t="shared" si="6"/>
        <v/>
      </c>
      <c r="S427" s="2"/>
      <c r="T427" s="6"/>
    </row>
    <row r="428" spans="1:20">
      <c r="A428" s="30"/>
      <c r="H428" s="30"/>
      <c r="K428" s="31" t="str">
        <f t="shared" si="6"/>
        <v/>
      </c>
      <c r="S428" s="2"/>
      <c r="T428" s="6"/>
    </row>
    <row r="429" spans="1:20">
      <c r="A429" s="30"/>
      <c r="H429" s="30"/>
      <c r="K429" s="31" t="str">
        <f t="shared" si="6"/>
        <v/>
      </c>
      <c r="S429" s="2"/>
      <c r="T429" s="6"/>
    </row>
    <row r="430" spans="1:20">
      <c r="A430" s="30"/>
      <c r="H430" s="30"/>
      <c r="K430" s="31" t="str">
        <f t="shared" si="6"/>
        <v/>
      </c>
      <c r="S430" s="2"/>
      <c r="T430" s="6"/>
    </row>
    <row r="431" spans="1:20">
      <c r="A431" s="30"/>
      <c r="H431" s="30"/>
      <c r="K431" s="31" t="str">
        <f t="shared" si="6"/>
        <v/>
      </c>
      <c r="S431" s="2"/>
      <c r="T431" s="6"/>
    </row>
    <row r="432" spans="1:20">
      <c r="A432" s="30"/>
      <c r="H432" s="30"/>
      <c r="K432" s="31" t="str">
        <f t="shared" si="6"/>
        <v/>
      </c>
      <c r="S432" s="2"/>
      <c r="T432" s="6"/>
    </row>
    <row r="433" spans="1:20">
      <c r="A433" s="30"/>
      <c r="H433" s="30"/>
      <c r="K433" s="31" t="str">
        <f t="shared" si="6"/>
        <v/>
      </c>
      <c r="S433" s="2"/>
      <c r="T433" s="6"/>
    </row>
    <row r="434" spans="1:20">
      <c r="A434" s="30"/>
      <c r="H434" s="30"/>
      <c r="K434" s="31" t="str">
        <f t="shared" si="6"/>
        <v/>
      </c>
      <c r="S434" s="2"/>
      <c r="T434" s="6"/>
    </row>
    <row r="435" spans="1:20">
      <c r="A435" s="30"/>
      <c r="H435" s="30"/>
      <c r="K435" s="31" t="str">
        <f t="shared" si="6"/>
        <v/>
      </c>
      <c r="S435" s="2"/>
      <c r="T435" s="6"/>
    </row>
    <row r="436" spans="1:20">
      <c r="A436" s="30"/>
      <c r="H436" s="30"/>
      <c r="K436" s="31" t="str">
        <f t="shared" si="6"/>
        <v/>
      </c>
      <c r="S436" s="2"/>
      <c r="T436" s="6"/>
    </row>
    <row r="437" spans="1:20">
      <c r="A437" s="30"/>
      <c r="H437" s="30"/>
      <c r="K437" s="31" t="str">
        <f t="shared" si="6"/>
        <v/>
      </c>
      <c r="S437" s="2"/>
      <c r="T437" s="6"/>
    </row>
    <row r="438" spans="1:20">
      <c r="A438" s="30"/>
      <c r="H438" s="30"/>
      <c r="K438" s="31" t="str">
        <f t="shared" si="6"/>
        <v/>
      </c>
      <c r="S438" s="2"/>
      <c r="T438" s="6"/>
    </row>
    <row r="439" spans="1:20">
      <c r="A439" s="30"/>
      <c r="H439" s="30"/>
      <c r="K439" s="31" t="str">
        <f t="shared" si="6"/>
        <v/>
      </c>
      <c r="S439" s="2"/>
      <c r="T439" s="6"/>
    </row>
    <row r="440" spans="1:20">
      <c r="A440" s="30"/>
      <c r="H440" s="30"/>
      <c r="K440" s="31" t="str">
        <f t="shared" si="6"/>
        <v/>
      </c>
      <c r="S440" s="2"/>
      <c r="T440" s="6"/>
    </row>
    <row r="441" spans="1:20">
      <c r="A441" s="30"/>
      <c r="H441" s="30"/>
      <c r="K441" s="31" t="str">
        <f t="shared" si="6"/>
        <v/>
      </c>
      <c r="S441" s="2"/>
      <c r="T441" s="6"/>
    </row>
    <row r="442" spans="1:20">
      <c r="A442" s="30"/>
      <c r="H442" s="30"/>
      <c r="K442" s="31" t="str">
        <f t="shared" si="6"/>
        <v/>
      </c>
      <c r="S442" s="2"/>
      <c r="T442" s="6"/>
    </row>
    <row r="443" spans="1:20">
      <c r="A443" s="30"/>
      <c r="H443" s="30"/>
      <c r="K443" s="31" t="str">
        <f t="shared" si="6"/>
        <v/>
      </c>
      <c r="S443" s="2"/>
      <c r="T443" s="6"/>
    </row>
    <row r="444" spans="1:20">
      <c r="A444" s="30"/>
      <c r="H444" s="30"/>
      <c r="K444" s="31" t="str">
        <f t="shared" si="6"/>
        <v/>
      </c>
      <c r="S444" s="2"/>
      <c r="T444" s="6"/>
    </row>
    <row r="445" spans="1:20">
      <c r="A445" s="30"/>
      <c r="H445" s="30"/>
      <c r="K445" s="31" t="str">
        <f t="shared" si="6"/>
        <v/>
      </c>
      <c r="S445" s="2"/>
      <c r="T445" s="6"/>
    </row>
    <row r="446" spans="1:20">
      <c r="A446" s="30"/>
      <c r="H446" s="30"/>
      <c r="K446" s="31" t="str">
        <f t="shared" si="6"/>
        <v/>
      </c>
      <c r="S446" s="2"/>
      <c r="T446" s="6"/>
    </row>
    <row r="447" spans="1:20">
      <c r="A447" s="30"/>
      <c r="H447" s="30"/>
      <c r="K447" s="31" t="str">
        <f t="shared" si="6"/>
        <v/>
      </c>
      <c r="S447" s="2"/>
      <c r="T447" s="6"/>
    </row>
    <row r="448" spans="1:20">
      <c r="A448" s="30"/>
      <c r="H448" s="30"/>
      <c r="K448" s="31" t="str">
        <f t="shared" si="6"/>
        <v/>
      </c>
      <c r="S448" s="2"/>
      <c r="T448" s="6"/>
    </row>
    <row r="449" spans="1:20">
      <c r="A449" s="30"/>
      <c r="H449" s="30"/>
      <c r="K449" s="31" t="str">
        <f t="shared" si="6"/>
        <v/>
      </c>
      <c r="S449" s="2"/>
      <c r="T449" s="6"/>
    </row>
    <row r="450" spans="1:20">
      <c r="A450" s="30"/>
      <c r="H450" s="30"/>
      <c r="K450" s="31" t="str">
        <f t="shared" ref="K450:K513" si="7">IF(OR(A450="",B450=""),"",A450-WEEKDAY(A450,2)+1)</f>
        <v/>
      </c>
      <c r="S450" s="2"/>
      <c r="T450" s="6"/>
    </row>
    <row r="451" spans="1:20">
      <c r="A451" s="30"/>
      <c r="H451" s="30"/>
      <c r="K451" s="31" t="str">
        <f t="shared" si="7"/>
        <v/>
      </c>
      <c r="S451" s="2"/>
      <c r="T451" s="6"/>
    </row>
    <row r="452" spans="1:20">
      <c r="A452" s="30"/>
      <c r="H452" s="30"/>
      <c r="K452" s="31" t="str">
        <f t="shared" si="7"/>
        <v/>
      </c>
      <c r="S452" s="2"/>
      <c r="T452" s="6"/>
    </row>
    <row r="453" spans="1:20">
      <c r="A453" s="30"/>
      <c r="H453" s="30"/>
      <c r="K453" s="31" t="str">
        <f t="shared" si="7"/>
        <v/>
      </c>
      <c r="S453" s="2"/>
      <c r="T453" s="6"/>
    </row>
    <row r="454" spans="1:20">
      <c r="A454" s="30"/>
      <c r="H454" s="30"/>
      <c r="K454" s="31" t="str">
        <f t="shared" si="7"/>
        <v/>
      </c>
      <c r="S454" s="2"/>
      <c r="T454" s="6"/>
    </row>
    <row r="455" spans="1:20">
      <c r="A455" s="30"/>
      <c r="H455" s="30"/>
      <c r="K455" s="31" t="str">
        <f t="shared" si="7"/>
        <v/>
      </c>
      <c r="S455" s="2"/>
      <c r="T455" s="6"/>
    </row>
    <row r="456" spans="1:20">
      <c r="A456" s="30"/>
      <c r="H456" s="30"/>
      <c r="K456" s="31" t="str">
        <f t="shared" si="7"/>
        <v/>
      </c>
      <c r="S456" s="2"/>
      <c r="T456" s="6"/>
    </row>
    <row r="457" spans="1:20">
      <c r="A457" s="30"/>
      <c r="H457" s="30"/>
      <c r="K457" s="31" t="str">
        <f t="shared" si="7"/>
        <v/>
      </c>
      <c r="S457" s="2"/>
      <c r="T457" s="6"/>
    </row>
    <row r="458" spans="1:20">
      <c r="A458" s="30"/>
      <c r="H458" s="30"/>
      <c r="K458" s="31" t="str">
        <f t="shared" si="7"/>
        <v/>
      </c>
      <c r="S458" s="2"/>
      <c r="T458" s="6"/>
    </row>
    <row r="459" spans="1:20">
      <c r="A459" s="30"/>
      <c r="H459" s="30"/>
      <c r="K459" s="31" t="str">
        <f t="shared" si="7"/>
        <v/>
      </c>
      <c r="S459" s="2"/>
      <c r="T459" s="6"/>
    </row>
    <row r="460" spans="1:20">
      <c r="A460" s="30"/>
      <c r="H460" s="30"/>
      <c r="K460" s="31" t="str">
        <f t="shared" si="7"/>
        <v/>
      </c>
      <c r="S460" s="2"/>
      <c r="T460" s="6"/>
    </row>
    <row r="461" spans="1:20">
      <c r="A461" s="30"/>
      <c r="H461" s="30"/>
      <c r="K461" s="31" t="str">
        <f t="shared" si="7"/>
        <v/>
      </c>
      <c r="S461" s="2"/>
      <c r="T461" s="6"/>
    </row>
    <row r="462" spans="1:20">
      <c r="A462" s="30"/>
      <c r="H462" s="30"/>
      <c r="K462" s="31" t="str">
        <f t="shared" si="7"/>
        <v/>
      </c>
      <c r="S462" s="2"/>
      <c r="T462" s="6"/>
    </row>
    <row r="463" spans="1:20">
      <c r="A463" s="30"/>
      <c r="H463" s="30"/>
      <c r="K463" s="31" t="str">
        <f t="shared" si="7"/>
        <v/>
      </c>
      <c r="S463" s="2"/>
      <c r="T463" s="6"/>
    </row>
    <row r="464" spans="1:20">
      <c r="A464" s="30"/>
      <c r="H464" s="30"/>
      <c r="K464" s="31" t="str">
        <f t="shared" si="7"/>
        <v/>
      </c>
      <c r="S464" s="2"/>
      <c r="T464" s="6"/>
    </row>
    <row r="465" spans="1:20">
      <c r="A465" s="30"/>
      <c r="H465" s="30"/>
      <c r="K465" s="31" t="str">
        <f t="shared" si="7"/>
        <v/>
      </c>
      <c r="S465" s="2"/>
      <c r="T465" s="6"/>
    </row>
    <row r="466" spans="1:20">
      <c r="A466" s="30"/>
      <c r="H466" s="30"/>
      <c r="K466" s="31" t="str">
        <f t="shared" si="7"/>
        <v/>
      </c>
      <c r="S466" s="2"/>
      <c r="T466" s="6"/>
    </row>
    <row r="467" spans="1:20">
      <c r="A467" s="30"/>
      <c r="H467" s="30"/>
      <c r="K467" s="31" t="str">
        <f t="shared" si="7"/>
        <v/>
      </c>
      <c r="S467" s="2"/>
      <c r="T467" s="6"/>
    </row>
    <row r="468" spans="1:20">
      <c r="A468" s="30"/>
      <c r="H468" s="30"/>
      <c r="K468" s="31" t="str">
        <f t="shared" si="7"/>
        <v/>
      </c>
      <c r="S468" s="2"/>
      <c r="T468" s="6"/>
    </row>
    <row r="469" spans="1:20">
      <c r="A469" s="30"/>
      <c r="H469" s="30"/>
      <c r="K469" s="31" t="str">
        <f t="shared" si="7"/>
        <v/>
      </c>
      <c r="S469" s="2"/>
      <c r="T469" s="6"/>
    </row>
    <row r="470" spans="1:20">
      <c r="A470" s="30"/>
      <c r="H470" s="30"/>
      <c r="K470" s="31" t="str">
        <f t="shared" si="7"/>
        <v/>
      </c>
      <c r="S470" s="2"/>
      <c r="T470" s="6"/>
    </row>
    <row r="471" spans="1:20">
      <c r="A471" s="30"/>
      <c r="H471" s="30"/>
      <c r="K471" s="31" t="str">
        <f t="shared" si="7"/>
        <v/>
      </c>
      <c r="S471" s="2"/>
      <c r="T471" s="6"/>
    </row>
    <row r="472" spans="1:20">
      <c r="A472" s="30"/>
      <c r="H472" s="30"/>
      <c r="K472" s="31" t="str">
        <f t="shared" si="7"/>
        <v/>
      </c>
      <c r="S472" s="2"/>
      <c r="T472" s="6"/>
    </row>
    <row r="473" spans="1:20">
      <c r="A473" s="30"/>
      <c r="H473" s="30"/>
      <c r="K473" s="31" t="str">
        <f t="shared" si="7"/>
        <v/>
      </c>
      <c r="S473" s="2"/>
      <c r="T473" s="6"/>
    </row>
    <row r="474" spans="1:20">
      <c r="A474" s="30"/>
      <c r="H474" s="30"/>
      <c r="K474" s="31" t="str">
        <f t="shared" si="7"/>
        <v/>
      </c>
      <c r="S474" s="2"/>
      <c r="T474" s="6"/>
    </row>
    <row r="475" spans="1:20">
      <c r="A475" s="30"/>
      <c r="H475" s="30"/>
      <c r="K475" s="31" t="str">
        <f t="shared" si="7"/>
        <v/>
      </c>
      <c r="S475" s="2"/>
      <c r="T475" s="6"/>
    </row>
    <row r="476" spans="1:20">
      <c r="A476" s="30"/>
      <c r="H476" s="30"/>
      <c r="K476" s="31" t="str">
        <f t="shared" si="7"/>
        <v/>
      </c>
      <c r="S476" s="2"/>
      <c r="T476" s="6"/>
    </row>
    <row r="477" spans="1:20">
      <c r="A477" s="30"/>
      <c r="H477" s="30"/>
      <c r="K477" s="31" t="str">
        <f t="shared" si="7"/>
        <v/>
      </c>
      <c r="S477" s="2"/>
      <c r="T477" s="6"/>
    </row>
    <row r="478" spans="1:20">
      <c r="A478" s="30"/>
      <c r="H478" s="30"/>
      <c r="K478" s="31" t="str">
        <f t="shared" si="7"/>
        <v/>
      </c>
      <c r="S478" s="2"/>
      <c r="T478" s="6"/>
    </row>
    <row r="479" spans="1:20">
      <c r="A479" s="30"/>
      <c r="H479" s="30"/>
      <c r="K479" s="31" t="str">
        <f t="shared" si="7"/>
        <v/>
      </c>
      <c r="S479" s="2"/>
      <c r="T479" s="6"/>
    </row>
    <row r="480" spans="1:20">
      <c r="A480" s="30"/>
      <c r="H480" s="30"/>
      <c r="K480" s="31" t="str">
        <f t="shared" si="7"/>
        <v/>
      </c>
      <c r="S480" s="2"/>
      <c r="T480" s="6"/>
    </row>
    <row r="481" spans="1:20">
      <c r="A481" s="30"/>
      <c r="H481" s="30"/>
      <c r="K481" s="31" t="str">
        <f t="shared" si="7"/>
        <v/>
      </c>
      <c r="S481" s="2"/>
      <c r="T481" s="6"/>
    </row>
    <row r="482" spans="1:20">
      <c r="A482" s="30"/>
      <c r="H482" s="30"/>
      <c r="K482" s="31" t="str">
        <f t="shared" si="7"/>
        <v/>
      </c>
      <c r="S482" s="2"/>
      <c r="T482" s="6"/>
    </row>
    <row r="483" spans="1:20">
      <c r="A483" s="30"/>
      <c r="H483" s="30"/>
      <c r="K483" s="31" t="str">
        <f t="shared" si="7"/>
        <v/>
      </c>
      <c r="S483" s="2"/>
      <c r="T483" s="6"/>
    </row>
    <row r="484" spans="1:20">
      <c r="A484" s="30"/>
      <c r="H484" s="30"/>
      <c r="K484" s="31" t="str">
        <f t="shared" si="7"/>
        <v/>
      </c>
      <c r="S484" s="2"/>
      <c r="T484" s="6"/>
    </row>
    <row r="485" spans="1:20">
      <c r="A485" s="30"/>
      <c r="H485" s="30"/>
      <c r="K485" s="31" t="str">
        <f t="shared" si="7"/>
        <v/>
      </c>
      <c r="S485" s="2"/>
      <c r="T485" s="6"/>
    </row>
    <row r="486" spans="1:20">
      <c r="A486" s="30"/>
      <c r="H486" s="30"/>
      <c r="K486" s="31" t="str">
        <f t="shared" si="7"/>
        <v/>
      </c>
      <c r="S486" s="2"/>
      <c r="T486" s="6"/>
    </row>
    <row r="487" spans="1:20">
      <c r="A487" s="30"/>
      <c r="H487" s="30"/>
      <c r="K487" s="31" t="str">
        <f t="shared" si="7"/>
        <v/>
      </c>
      <c r="S487" s="2"/>
      <c r="T487" s="6"/>
    </row>
    <row r="488" spans="1:20">
      <c r="A488" s="30"/>
      <c r="H488" s="30"/>
      <c r="K488" s="31" t="str">
        <f t="shared" si="7"/>
        <v/>
      </c>
      <c r="S488" s="2"/>
      <c r="T488" s="6"/>
    </row>
    <row r="489" spans="1:20">
      <c r="A489" s="30"/>
      <c r="H489" s="30"/>
      <c r="K489" s="31" t="str">
        <f t="shared" si="7"/>
        <v/>
      </c>
      <c r="S489" s="2"/>
      <c r="T489" s="6"/>
    </row>
    <row r="490" spans="1:20">
      <c r="A490" s="30"/>
      <c r="H490" s="30"/>
      <c r="K490" s="31" t="str">
        <f t="shared" si="7"/>
        <v/>
      </c>
      <c r="S490" s="2"/>
      <c r="T490" s="6"/>
    </row>
    <row r="491" spans="1:20">
      <c r="A491" s="30"/>
      <c r="H491" s="30"/>
      <c r="K491" s="31" t="str">
        <f t="shared" si="7"/>
        <v/>
      </c>
      <c r="S491" s="2"/>
      <c r="T491" s="6"/>
    </row>
    <row r="492" spans="1:20">
      <c r="A492" s="30"/>
      <c r="H492" s="30"/>
      <c r="K492" s="31" t="str">
        <f t="shared" si="7"/>
        <v/>
      </c>
      <c r="S492" s="2"/>
      <c r="T492" s="6"/>
    </row>
    <row r="493" spans="1:20">
      <c r="A493" s="30"/>
      <c r="H493" s="30"/>
      <c r="K493" s="31" t="str">
        <f t="shared" si="7"/>
        <v/>
      </c>
      <c r="S493" s="2"/>
      <c r="T493" s="6"/>
    </row>
    <row r="494" spans="1:20">
      <c r="A494" s="30"/>
      <c r="H494" s="30"/>
      <c r="K494" s="31" t="str">
        <f t="shared" si="7"/>
        <v/>
      </c>
      <c r="S494" s="2"/>
      <c r="T494" s="6"/>
    </row>
    <row r="495" spans="1:20">
      <c r="A495" s="30"/>
      <c r="H495" s="30"/>
      <c r="K495" s="31" t="str">
        <f t="shared" si="7"/>
        <v/>
      </c>
      <c r="S495" s="2"/>
      <c r="T495" s="6"/>
    </row>
    <row r="496" spans="1:20">
      <c r="A496" s="30"/>
      <c r="H496" s="30"/>
      <c r="K496" s="31" t="str">
        <f t="shared" si="7"/>
        <v/>
      </c>
      <c r="S496" s="2"/>
      <c r="T496" s="6"/>
    </row>
    <row r="497" spans="1:20">
      <c r="A497" s="30"/>
      <c r="H497" s="30"/>
      <c r="K497" s="31" t="str">
        <f t="shared" si="7"/>
        <v/>
      </c>
      <c r="S497" s="2"/>
      <c r="T497" s="6"/>
    </row>
    <row r="498" spans="1:20">
      <c r="A498" s="30"/>
      <c r="H498" s="30"/>
      <c r="K498" s="31" t="str">
        <f t="shared" si="7"/>
        <v/>
      </c>
      <c r="S498" s="2"/>
      <c r="T498" s="6"/>
    </row>
    <row r="499" spans="1:20">
      <c r="A499" s="30"/>
      <c r="H499" s="30"/>
      <c r="K499" s="31" t="str">
        <f t="shared" si="7"/>
        <v/>
      </c>
      <c r="S499" s="2"/>
      <c r="T499" s="6"/>
    </row>
    <row r="500" spans="1:20">
      <c r="A500" s="30"/>
      <c r="H500" s="30"/>
      <c r="K500" s="31" t="str">
        <f t="shared" si="7"/>
        <v/>
      </c>
      <c r="S500" s="2"/>
      <c r="T500" s="6"/>
    </row>
    <row r="501" spans="1:20">
      <c r="A501" s="30"/>
      <c r="H501" s="30"/>
      <c r="K501" s="31" t="str">
        <f t="shared" si="7"/>
        <v/>
      </c>
      <c r="S501" s="2"/>
      <c r="T501" s="6"/>
    </row>
    <row r="502" spans="1:20">
      <c r="A502" s="30"/>
      <c r="H502" s="30"/>
      <c r="K502" s="31" t="str">
        <f t="shared" si="7"/>
        <v/>
      </c>
      <c r="S502" s="2"/>
      <c r="T502" s="6"/>
    </row>
    <row r="503" spans="1:20">
      <c r="A503" s="30"/>
      <c r="H503" s="30"/>
      <c r="K503" s="31" t="str">
        <f t="shared" si="7"/>
        <v/>
      </c>
      <c r="S503" s="2"/>
      <c r="T503" s="6"/>
    </row>
    <row r="504" spans="1:20">
      <c r="A504" s="30"/>
      <c r="H504" s="30"/>
      <c r="K504" s="31" t="str">
        <f t="shared" si="7"/>
        <v/>
      </c>
      <c r="S504" s="2"/>
      <c r="T504" s="6"/>
    </row>
    <row r="505" spans="1:20">
      <c r="A505" s="30"/>
      <c r="H505" s="30"/>
      <c r="K505" s="31" t="str">
        <f t="shared" si="7"/>
        <v/>
      </c>
      <c r="S505" s="2"/>
      <c r="T505" s="6"/>
    </row>
    <row r="506" spans="1:20">
      <c r="A506" s="30"/>
      <c r="H506" s="30"/>
      <c r="K506" s="31" t="str">
        <f t="shared" si="7"/>
        <v/>
      </c>
      <c r="S506" s="2"/>
      <c r="T506" s="6"/>
    </row>
    <row r="507" spans="1:20">
      <c r="A507" s="30"/>
      <c r="H507" s="30"/>
      <c r="K507" s="31" t="str">
        <f t="shared" si="7"/>
        <v/>
      </c>
      <c r="S507" s="2"/>
      <c r="T507" s="6"/>
    </row>
    <row r="508" spans="1:20">
      <c r="A508" s="30"/>
      <c r="H508" s="30"/>
      <c r="K508" s="31" t="str">
        <f t="shared" si="7"/>
        <v/>
      </c>
      <c r="S508" s="2"/>
      <c r="T508" s="6"/>
    </row>
    <row r="509" spans="1:20">
      <c r="A509" s="30"/>
      <c r="H509" s="30"/>
      <c r="K509" s="31" t="str">
        <f t="shared" si="7"/>
        <v/>
      </c>
      <c r="S509" s="2"/>
      <c r="T509" s="6"/>
    </row>
    <row r="510" spans="1:20">
      <c r="A510" s="30"/>
      <c r="H510" s="30"/>
      <c r="K510" s="31" t="str">
        <f t="shared" si="7"/>
        <v/>
      </c>
      <c r="S510" s="2"/>
      <c r="T510" s="6"/>
    </row>
    <row r="511" spans="1:20">
      <c r="A511" s="30"/>
      <c r="H511" s="30"/>
      <c r="K511" s="31" t="str">
        <f t="shared" si="7"/>
        <v/>
      </c>
      <c r="S511" s="2"/>
      <c r="T511" s="6"/>
    </row>
    <row r="512" spans="1:20">
      <c r="A512" s="30"/>
      <c r="H512" s="30"/>
      <c r="K512" s="31" t="str">
        <f t="shared" si="7"/>
        <v/>
      </c>
      <c r="S512" s="2"/>
      <c r="T512" s="6"/>
    </row>
    <row r="513" spans="1:20">
      <c r="A513" s="30"/>
      <c r="H513" s="30"/>
      <c r="K513" s="31" t="str">
        <f t="shared" si="7"/>
        <v/>
      </c>
      <c r="S513" s="2"/>
      <c r="T513" s="6"/>
    </row>
    <row r="514" spans="1:20">
      <c r="A514" s="30"/>
      <c r="H514" s="30"/>
      <c r="K514" s="31" t="str">
        <f t="shared" ref="K514:K577" si="8">IF(OR(A514="",B514=""),"",A514-WEEKDAY(A514,2)+1)</f>
        <v/>
      </c>
      <c r="S514" s="2"/>
      <c r="T514" s="6"/>
    </row>
    <row r="515" spans="1:20">
      <c r="A515" s="30"/>
      <c r="H515" s="30"/>
      <c r="K515" s="31" t="str">
        <f t="shared" si="8"/>
        <v/>
      </c>
      <c r="S515" s="2"/>
      <c r="T515" s="6"/>
    </row>
    <row r="516" spans="1:20">
      <c r="A516" s="30"/>
      <c r="H516" s="30"/>
      <c r="K516" s="31" t="str">
        <f t="shared" si="8"/>
        <v/>
      </c>
      <c r="S516" s="2"/>
      <c r="T516" s="6"/>
    </row>
    <row r="517" spans="1:20">
      <c r="A517" s="30"/>
      <c r="H517" s="30"/>
      <c r="K517" s="31" t="str">
        <f t="shared" si="8"/>
        <v/>
      </c>
      <c r="S517" s="2"/>
      <c r="T517" s="6"/>
    </row>
    <row r="518" spans="1:20">
      <c r="A518" s="30"/>
      <c r="H518" s="30"/>
      <c r="K518" s="31" t="str">
        <f t="shared" si="8"/>
        <v/>
      </c>
      <c r="S518" s="2"/>
      <c r="T518" s="6"/>
    </row>
    <row r="519" spans="1:20">
      <c r="A519" s="30"/>
      <c r="H519" s="30"/>
      <c r="K519" s="31" t="str">
        <f t="shared" si="8"/>
        <v/>
      </c>
      <c r="S519" s="2"/>
      <c r="T519" s="6"/>
    </row>
    <row r="520" spans="1:20">
      <c r="A520" s="30"/>
      <c r="H520" s="30"/>
      <c r="K520" s="31" t="str">
        <f t="shared" si="8"/>
        <v/>
      </c>
      <c r="S520" s="2"/>
      <c r="T520" s="6"/>
    </row>
    <row r="521" spans="1:20">
      <c r="A521" s="30"/>
      <c r="H521" s="30"/>
      <c r="K521" s="31" t="str">
        <f t="shared" si="8"/>
        <v/>
      </c>
      <c r="S521" s="2"/>
      <c r="T521" s="6"/>
    </row>
    <row r="522" spans="1:20">
      <c r="A522" s="30"/>
      <c r="H522" s="30"/>
      <c r="K522" s="31" t="str">
        <f t="shared" si="8"/>
        <v/>
      </c>
      <c r="S522" s="2"/>
      <c r="T522" s="6"/>
    </row>
    <row r="523" spans="1:20">
      <c r="A523" s="30"/>
      <c r="H523" s="30"/>
      <c r="K523" s="31" t="str">
        <f t="shared" si="8"/>
        <v/>
      </c>
      <c r="S523" s="2"/>
      <c r="T523" s="6"/>
    </row>
    <row r="524" spans="1:20">
      <c r="A524" s="30"/>
      <c r="H524" s="30"/>
      <c r="K524" s="31" t="str">
        <f t="shared" si="8"/>
        <v/>
      </c>
      <c r="S524" s="2"/>
      <c r="T524" s="6"/>
    </row>
    <row r="525" spans="1:20">
      <c r="A525" s="30"/>
      <c r="H525" s="30"/>
      <c r="K525" s="31" t="str">
        <f t="shared" si="8"/>
        <v/>
      </c>
      <c r="S525" s="2"/>
      <c r="T525" s="6"/>
    </row>
    <row r="526" spans="1:20">
      <c r="A526" s="30"/>
      <c r="H526" s="30"/>
      <c r="K526" s="31" t="str">
        <f t="shared" si="8"/>
        <v/>
      </c>
      <c r="S526" s="2"/>
      <c r="T526" s="6"/>
    </row>
    <row r="527" spans="1:20">
      <c r="A527" s="30"/>
      <c r="H527" s="30"/>
      <c r="K527" s="31" t="str">
        <f t="shared" si="8"/>
        <v/>
      </c>
      <c r="S527" s="2"/>
      <c r="T527" s="6"/>
    </row>
    <row r="528" spans="1:20">
      <c r="A528" s="30"/>
      <c r="H528" s="30"/>
      <c r="K528" s="31" t="str">
        <f t="shared" si="8"/>
        <v/>
      </c>
      <c r="S528" s="2"/>
      <c r="T528" s="6"/>
    </row>
    <row r="529" spans="1:20">
      <c r="A529" s="30"/>
      <c r="H529" s="30"/>
      <c r="K529" s="31" t="str">
        <f t="shared" si="8"/>
        <v/>
      </c>
      <c r="S529" s="2"/>
      <c r="T529" s="6"/>
    </row>
    <row r="530" spans="1:20">
      <c r="A530" s="30"/>
      <c r="H530" s="30"/>
      <c r="K530" s="31" t="str">
        <f t="shared" si="8"/>
        <v/>
      </c>
      <c r="S530" s="2"/>
      <c r="T530" s="6"/>
    </row>
    <row r="531" spans="1:20">
      <c r="A531" s="30"/>
      <c r="H531" s="30"/>
      <c r="K531" s="31" t="str">
        <f t="shared" si="8"/>
        <v/>
      </c>
      <c r="S531" s="2"/>
      <c r="T531" s="6"/>
    </row>
    <row r="532" spans="1:20">
      <c r="A532" s="30"/>
      <c r="H532" s="30"/>
      <c r="K532" s="31" t="str">
        <f t="shared" si="8"/>
        <v/>
      </c>
      <c r="S532" s="2"/>
      <c r="T532" s="6"/>
    </row>
    <row r="533" spans="1:20">
      <c r="A533" s="30"/>
      <c r="H533" s="30"/>
      <c r="K533" s="31" t="str">
        <f t="shared" si="8"/>
        <v/>
      </c>
      <c r="S533" s="2"/>
      <c r="T533" s="6"/>
    </row>
    <row r="534" spans="1:20">
      <c r="A534" s="30"/>
      <c r="H534" s="30"/>
      <c r="K534" s="31" t="str">
        <f t="shared" si="8"/>
        <v/>
      </c>
      <c r="S534" s="2"/>
      <c r="T534" s="6"/>
    </row>
    <row r="535" spans="1:20">
      <c r="A535" s="30"/>
      <c r="H535" s="30"/>
      <c r="K535" s="31" t="str">
        <f t="shared" si="8"/>
        <v/>
      </c>
      <c r="S535" s="2"/>
      <c r="T535" s="6"/>
    </row>
    <row r="536" spans="1:20">
      <c r="A536" s="30"/>
      <c r="H536" s="30"/>
      <c r="K536" s="31" t="str">
        <f t="shared" si="8"/>
        <v/>
      </c>
      <c r="S536" s="2"/>
      <c r="T536" s="6"/>
    </row>
    <row r="537" spans="1:20">
      <c r="A537" s="30"/>
      <c r="H537" s="30"/>
      <c r="K537" s="31" t="str">
        <f t="shared" si="8"/>
        <v/>
      </c>
      <c r="S537" s="2"/>
      <c r="T537" s="6"/>
    </row>
    <row r="538" spans="1:20">
      <c r="A538" s="30"/>
      <c r="H538" s="30"/>
      <c r="K538" s="31" t="str">
        <f t="shared" si="8"/>
        <v/>
      </c>
      <c r="S538" s="2"/>
      <c r="T538" s="6"/>
    </row>
    <row r="539" spans="1:20">
      <c r="A539" s="30"/>
      <c r="H539" s="30"/>
      <c r="K539" s="31" t="str">
        <f t="shared" si="8"/>
        <v/>
      </c>
      <c r="S539" s="2"/>
      <c r="T539" s="6"/>
    </row>
    <row r="540" spans="1:20">
      <c r="A540" s="30"/>
      <c r="H540" s="30"/>
      <c r="K540" s="31" t="str">
        <f t="shared" si="8"/>
        <v/>
      </c>
      <c r="S540" s="2"/>
      <c r="T540" s="6"/>
    </row>
    <row r="541" spans="1:20">
      <c r="A541" s="30"/>
      <c r="H541" s="30"/>
      <c r="K541" s="31" t="str">
        <f t="shared" si="8"/>
        <v/>
      </c>
      <c r="S541" s="2"/>
      <c r="T541" s="6"/>
    </row>
    <row r="542" spans="1:20">
      <c r="A542" s="30"/>
      <c r="H542" s="30"/>
      <c r="K542" s="31" t="str">
        <f t="shared" si="8"/>
        <v/>
      </c>
      <c r="S542" s="2"/>
      <c r="T542" s="6"/>
    </row>
    <row r="543" spans="1:20">
      <c r="A543" s="30"/>
      <c r="H543" s="30"/>
      <c r="K543" s="31" t="str">
        <f t="shared" si="8"/>
        <v/>
      </c>
      <c r="S543" s="2"/>
      <c r="T543" s="6"/>
    </row>
    <row r="544" spans="1:20">
      <c r="A544" s="30"/>
      <c r="H544" s="30"/>
      <c r="K544" s="31" t="str">
        <f t="shared" si="8"/>
        <v/>
      </c>
      <c r="S544" s="2"/>
      <c r="T544" s="6"/>
    </row>
    <row r="545" spans="1:20">
      <c r="A545" s="30"/>
      <c r="H545" s="30"/>
      <c r="K545" s="31" t="str">
        <f t="shared" si="8"/>
        <v/>
      </c>
      <c r="S545" s="2"/>
      <c r="T545" s="6"/>
    </row>
    <row r="546" spans="1:20">
      <c r="A546" s="30"/>
      <c r="H546" s="30"/>
      <c r="K546" s="31" t="str">
        <f t="shared" si="8"/>
        <v/>
      </c>
      <c r="S546" s="2"/>
      <c r="T546" s="6"/>
    </row>
    <row r="547" spans="1:20">
      <c r="A547" s="30"/>
      <c r="H547" s="30"/>
      <c r="K547" s="31" t="str">
        <f t="shared" si="8"/>
        <v/>
      </c>
      <c r="S547" s="2"/>
      <c r="T547" s="6"/>
    </row>
    <row r="548" spans="1:20">
      <c r="A548" s="30"/>
      <c r="H548" s="30"/>
      <c r="K548" s="31" t="str">
        <f t="shared" si="8"/>
        <v/>
      </c>
      <c r="S548" s="2"/>
      <c r="T548" s="6"/>
    </row>
    <row r="549" spans="1:20">
      <c r="A549" s="30"/>
      <c r="H549" s="30"/>
      <c r="K549" s="31" t="str">
        <f t="shared" si="8"/>
        <v/>
      </c>
      <c r="S549" s="2"/>
      <c r="T549" s="6"/>
    </row>
    <row r="550" spans="1:20">
      <c r="A550" s="30"/>
      <c r="H550" s="30"/>
      <c r="K550" s="31" t="str">
        <f t="shared" si="8"/>
        <v/>
      </c>
      <c r="S550" s="2"/>
      <c r="T550" s="6"/>
    </row>
    <row r="551" spans="1:20">
      <c r="A551" s="30"/>
      <c r="H551" s="30"/>
      <c r="K551" s="31" t="str">
        <f t="shared" si="8"/>
        <v/>
      </c>
      <c r="S551" s="2"/>
      <c r="T551" s="6"/>
    </row>
    <row r="552" spans="1:20">
      <c r="A552" s="30"/>
      <c r="H552" s="30"/>
      <c r="K552" s="31" t="str">
        <f t="shared" si="8"/>
        <v/>
      </c>
      <c r="S552" s="2"/>
      <c r="T552" s="6"/>
    </row>
    <row r="553" spans="1:20">
      <c r="A553" s="30"/>
      <c r="H553" s="30"/>
      <c r="K553" s="31" t="str">
        <f t="shared" si="8"/>
        <v/>
      </c>
      <c r="S553" s="2"/>
      <c r="T553" s="6"/>
    </row>
    <row r="554" spans="1:20">
      <c r="A554" s="30"/>
      <c r="H554" s="30"/>
      <c r="K554" s="31" t="str">
        <f t="shared" si="8"/>
        <v/>
      </c>
      <c r="S554" s="2"/>
      <c r="T554" s="6"/>
    </row>
    <row r="555" spans="1:20">
      <c r="A555" s="30"/>
      <c r="H555" s="30"/>
      <c r="K555" s="31" t="str">
        <f t="shared" si="8"/>
        <v/>
      </c>
      <c r="S555" s="2"/>
      <c r="T555" s="6"/>
    </row>
    <row r="556" spans="1:20">
      <c r="A556" s="30"/>
      <c r="H556" s="30"/>
      <c r="K556" s="31" t="str">
        <f t="shared" si="8"/>
        <v/>
      </c>
      <c r="S556" s="2"/>
      <c r="T556" s="6"/>
    </row>
    <row r="557" spans="1:20">
      <c r="A557" s="30"/>
      <c r="H557" s="30"/>
      <c r="K557" s="31" t="str">
        <f t="shared" si="8"/>
        <v/>
      </c>
      <c r="S557" s="2"/>
      <c r="T557" s="6"/>
    </row>
    <row r="558" spans="1:20">
      <c r="A558" s="30"/>
      <c r="H558" s="30"/>
      <c r="K558" s="31" t="str">
        <f t="shared" si="8"/>
        <v/>
      </c>
      <c r="S558" s="2"/>
      <c r="T558" s="6"/>
    </row>
    <row r="559" spans="1:20">
      <c r="A559" s="30"/>
      <c r="H559" s="30"/>
      <c r="K559" s="31" t="str">
        <f t="shared" si="8"/>
        <v/>
      </c>
      <c r="S559" s="2"/>
      <c r="T559" s="6"/>
    </row>
    <row r="560" spans="1:20">
      <c r="A560" s="30"/>
      <c r="H560" s="30"/>
      <c r="K560" s="31" t="str">
        <f t="shared" si="8"/>
        <v/>
      </c>
      <c r="S560" s="2"/>
      <c r="T560" s="6"/>
    </row>
    <row r="561" spans="1:20">
      <c r="A561" s="30"/>
      <c r="H561" s="30"/>
      <c r="K561" s="31" t="str">
        <f t="shared" si="8"/>
        <v/>
      </c>
      <c r="S561" s="2"/>
      <c r="T561" s="6"/>
    </row>
    <row r="562" spans="1:20">
      <c r="A562" s="30"/>
      <c r="H562" s="30"/>
      <c r="K562" s="31" t="str">
        <f t="shared" si="8"/>
        <v/>
      </c>
      <c r="S562" s="2"/>
      <c r="T562" s="6"/>
    </row>
    <row r="563" spans="1:20">
      <c r="A563" s="30"/>
      <c r="H563" s="30"/>
      <c r="K563" s="31" t="str">
        <f t="shared" si="8"/>
        <v/>
      </c>
      <c r="S563" s="2"/>
      <c r="T563" s="6"/>
    </row>
    <row r="564" spans="1:20">
      <c r="A564" s="30"/>
      <c r="H564" s="30"/>
      <c r="K564" s="31" t="str">
        <f t="shared" si="8"/>
        <v/>
      </c>
      <c r="S564" s="2"/>
      <c r="T564" s="6"/>
    </row>
    <row r="565" spans="1:20">
      <c r="A565" s="30"/>
      <c r="H565" s="30"/>
      <c r="K565" s="31" t="str">
        <f t="shared" si="8"/>
        <v/>
      </c>
      <c r="S565" s="2"/>
      <c r="T565" s="6"/>
    </row>
    <row r="566" spans="1:20">
      <c r="A566" s="30"/>
      <c r="H566" s="30"/>
      <c r="K566" s="31" t="str">
        <f t="shared" si="8"/>
        <v/>
      </c>
      <c r="S566" s="2"/>
      <c r="T566" s="6"/>
    </row>
    <row r="567" spans="1:20">
      <c r="A567" s="30"/>
      <c r="H567" s="30"/>
      <c r="K567" s="31" t="str">
        <f t="shared" si="8"/>
        <v/>
      </c>
      <c r="S567" s="2"/>
      <c r="T567" s="6"/>
    </row>
    <row r="568" spans="1:20">
      <c r="A568" s="30"/>
      <c r="H568" s="30"/>
      <c r="K568" s="31" t="str">
        <f t="shared" si="8"/>
        <v/>
      </c>
      <c r="S568" s="2"/>
      <c r="T568" s="6"/>
    </row>
    <row r="569" spans="1:20">
      <c r="A569" s="30"/>
      <c r="H569" s="30"/>
      <c r="K569" s="31" t="str">
        <f t="shared" si="8"/>
        <v/>
      </c>
      <c r="S569" s="2"/>
      <c r="T569" s="6"/>
    </row>
    <row r="570" spans="1:20">
      <c r="A570" s="30"/>
      <c r="H570" s="30"/>
      <c r="K570" s="31" t="str">
        <f t="shared" si="8"/>
        <v/>
      </c>
      <c r="S570" s="2"/>
      <c r="T570" s="6"/>
    </row>
    <row r="571" spans="1:20">
      <c r="A571" s="30"/>
      <c r="H571" s="30"/>
      <c r="K571" s="31" t="str">
        <f t="shared" si="8"/>
        <v/>
      </c>
      <c r="S571" s="2"/>
      <c r="T571" s="6"/>
    </row>
    <row r="572" spans="1:20">
      <c r="A572" s="30"/>
      <c r="H572" s="30"/>
      <c r="K572" s="31" t="str">
        <f t="shared" si="8"/>
        <v/>
      </c>
      <c r="S572" s="2"/>
      <c r="T572" s="6"/>
    </row>
    <row r="573" spans="1:20">
      <c r="A573" s="30"/>
      <c r="H573" s="30"/>
      <c r="K573" s="31" t="str">
        <f t="shared" si="8"/>
        <v/>
      </c>
      <c r="S573" s="2"/>
      <c r="T573" s="6"/>
    </row>
    <row r="574" spans="1:20">
      <c r="A574" s="30"/>
      <c r="H574" s="30"/>
      <c r="K574" s="31" t="str">
        <f t="shared" si="8"/>
        <v/>
      </c>
      <c r="S574" s="2"/>
      <c r="T574" s="6"/>
    </row>
    <row r="575" spans="1:20">
      <c r="A575" s="30"/>
      <c r="H575" s="30"/>
      <c r="K575" s="31" t="str">
        <f t="shared" si="8"/>
        <v/>
      </c>
      <c r="S575" s="2"/>
      <c r="T575" s="6"/>
    </row>
    <row r="576" spans="1:20">
      <c r="A576" s="30"/>
      <c r="H576" s="30"/>
      <c r="K576" s="31" t="str">
        <f t="shared" si="8"/>
        <v/>
      </c>
      <c r="S576" s="2"/>
      <c r="T576" s="6"/>
    </row>
    <row r="577" spans="1:20">
      <c r="A577" s="30"/>
      <c r="H577" s="30"/>
      <c r="K577" s="31" t="str">
        <f t="shared" si="8"/>
        <v/>
      </c>
      <c r="S577" s="2"/>
      <c r="T577" s="6"/>
    </row>
    <row r="578" spans="1:20">
      <c r="A578" s="30"/>
      <c r="H578" s="30"/>
      <c r="K578" s="31" t="str">
        <f t="shared" ref="K578:K641" si="9">IF(OR(A578="",B578=""),"",A578-WEEKDAY(A578,2)+1)</f>
        <v/>
      </c>
      <c r="S578" s="2"/>
      <c r="T578" s="6"/>
    </row>
    <row r="579" spans="1:20">
      <c r="A579" s="30"/>
      <c r="H579" s="30"/>
      <c r="K579" s="31" t="str">
        <f t="shared" si="9"/>
        <v/>
      </c>
      <c r="S579" s="2"/>
      <c r="T579" s="6"/>
    </row>
    <row r="580" spans="1:20">
      <c r="A580" s="30"/>
      <c r="H580" s="30"/>
      <c r="K580" s="31" t="str">
        <f t="shared" si="9"/>
        <v/>
      </c>
      <c r="S580" s="2"/>
      <c r="T580" s="6"/>
    </row>
    <row r="581" spans="1:20">
      <c r="A581" s="30"/>
      <c r="H581" s="30"/>
      <c r="K581" s="31" t="str">
        <f t="shared" si="9"/>
        <v/>
      </c>
      <c r="S581" s="2"/>
      <c r="T581" s="6"/>
    </row>
    <row r="582" spans="1:20">
      <c r="A582" s="30"/>
      <c r="H582" s="30"/>
      <c r="K582" s="31" t="str">
        <f t="shared" si="9"/>
        <v/>
      </c>
      <c r="S582" s="2"/>
      <c r="T582" s="6"/>
    </row>
    <row r="583" spans="1:20">
      <c r="A583" s="30"/>
      <c r="H583" s="30"/>
      <c r="K583" s="31" t="str">
        <f t="shared" si="9"/>
        <v/>
      </c>
      <c r="S583" s="2"/>
      <c r="T583" s="6"/>
    </row>
    <row r="584" spans="1:20">
      <c r="A584" s="30"/>
      <c r="H584" s="30"/>
      <c r="K584" s="31" t="str">
        <f t="shared" si="9"/>
        <v/>
      </c>
      <c r="S584" s="2"/>
      <c r="T584" s="6"/>
    </row>
    <row r="585" spans="1:20">
      <c r="A585" s="30"/>
      <c r="H585" s="30"/>
      <c r="K585" s="31" t="str">
        <f t="shared" si="9"/>
        <v/>
      </c>
      <c r="S585" s="2"/>
      <c r="T585" s="6"/>
    </row>
    <row r="586" spans="1:20">
      <c r="A586" s="30"/>
      <c r="H586" s="30"/>
      <c r="K586" s="31" t="str">
        <f t="shared" si="9"/>
        <v/>
      </c>
      <c r="S586" s="2"/>
      <c r="T586" s="6"/>
    </row>
    <row r="587" spans="1:20">
      <c r="A587" s="30"/>
      <c r="H587" s="30"/>
      <c r="K587" s="31" t="str">
        <f t="shared" si="9"/>
        <v/>
      </c>
      <c r="S587" s="2"/>
      <c r="T587" s="6"/>
    </row>
    <row r="588" spans="1:20">
      <c r="A588" s="30"/>
      <c r="H588" s="30"/>
      <c r="K588" s="31" t="str">
        <f t="shared" si="9"/>
        <v/>
      </c>
      <c r="S588" s="2"/>
      <c r="T588" s="6"/>
    </row>
    <row r="589" spans="1:20">
      <c r="A589" s="30"/>
      <c r="H589" s="30"/>
      <c r="K589" s="31" t="str">
        <f t="shared" si="9"/>
        <v/>
      </c>
      <c r="S589" s="2"/>
      <c r="T589" s="6"/>
    </row>
    <row r="590" spans="1:20">
      <c r="A590" s="30"/>
      <c r="H590" s="30"/>
      <c r="K590" s="31" t="str">
        <f t="shared" si="9"/>
        <v/>
      </c>
      <c r="S590" s="2"/>
      <c r="T590" s="6"/>
    </row>
    <row r="591" spans="1:20">
      <c r="A591" s="30"/>
      <c r="H591" s="30"/>
      <c r="K591" s="31" t="str">
        <f t="shared" si="9"/>
        <v/>
      </c>
      <c r="S591" s="2"/>
      <c r="T591" s="6"/>
    </row>
    <row r="592" spans="1:20">
      <c r="A592" s="30"/>
      <c r="H592" s="30"/>
      <c r="K592" s="31" t="str">
        <f t="shared" si="9"/>
        <v/>
      </c>
      <c r="S592" s="2"/>
      <c r="T592" s="6"/>
    </row>
    <row r="593" spans="1:20">
      <c r="A593" s="30"/>
      <c r="H593" s="30"/>
      <c r="K593" s="31" t="str">
        <f t="shared" si="9"/>
        <v/>
      </c>
      <c r="S593" s="2"/>
      <c r="T593" s="6"/>
    </row>
    <row r="594" spans="1:20">
      <c r="A594" s="30"/>
      <c r="H594" s="30"/>
      <c r="K594" s="31" t="str">
        <f t="shared" si="9"/>
        <v/>
      </c>
      <c r="S594" s="2"/>
      <c r="T594" s="6"/>
    </row>
    <row r="595" spans="1:20">
      <c r="A595" s="30"/>
      <c r="H595" s="30"/>
      <c r="K595" s="31" t="str">
        <f t="shared" si="9"/>
        <v/>
      </c>
      <c r="S595" s="2"/>
      <c r="T595" s="6"/>
    </row>
    <row r="596" spans="1:20">
      <c r="A596" s="30"/>
      <c r="H596" s="30"/>
      <c r="K596" s="31" t="str">
        <f t="shared" si="9"/>
        <v/>
      </c>
      <c r="S596" s="2"/>
      <c r="T596" s="6"/>
    </row>
    <row r="597" spans="1:20">
      <c r="A597" s="30"/>
      <c r="H597" s="30"/>
      <c r="K597" s="31" t="str">
        <f t="shared" si="9"/>
        <v/>
      </c>
      <c r="S597" s="2"/>
      <c r="T597" s="6"/>
    </row>
    <row r="598" spans="1:20">
      <c r="A598" s="30"/>
      <c r="H598" s="30"/>
      <c r="K598" s="31" t="str">
        <f t="shared" si="9"/>
        <v/>
      </c>
      <c r="S598" s="2"/>
      <c r="T598" s="6"/>
    </row>
    <row r="599" spans="1:20">
      <c r="A599" s="30"/>
      <c r="H599" s="30"/>
      <c r="K599" s="31" t="str">
        <f t="shared" si="9"/>
        <v/>
      </c>
      <c r="S599" s="2"/>
      <c r="T599" s="6"/>
    </row>
    <row r="600" spans="1:20">
      <c r="A600" s="30"/>
      <c r="H600" s="30"/>
      <c r="K600" s="31" t="str">
        <f t="shared" si="9"/>
        <v/>
      </c>
      <c r="S600" s="2"/>
      <c r="T600" s="6"/>
    </row>
    <row r="601" spans="1:20">
      <c r="A601" s="30"/>
      <c r="H601" s="30"/>
      <c r="K601" s="31" t="str">
        <f t="shared" si="9"/>
        <v/>
      </c>
      <c r="S601" s="2"/>
      <c r="T601" s="6"/>
    </row>
    <row r="602" spans="1:20">
      <c r="A602" s="30"/>
      <c r="H602" s="30"/>
      <c r="K602" s="31" t="str">
        <f t="shared" si="9"/>
        <v/>
      </c>
      <c r="S602" s="2"/>
      <c r="T602" s="6"/>
    </row>
    <row r="603" spans="1:20">
      <c r="A603" s="30"/>
      <c r="H603" s="30"/>
      <c r="K603" s="31" t="str">
        <f t="shared" si="9"/>
        <v/>
      </c>
      <c r="S603" s="2"/>
      <c r="T603" s="6"/>
    </row>
    <row r="604" spans="1:20">
      <c r="A604" s="30"/>
      <c r="H604" s="30"/>
      <c r="K604" s="31" t="str">
        <f t="shared" si="9"/>
        <v/>
      </c>
      <c r="S604" s="2"/>
      <c r="T604" s="6"/>
    </row>
    <row r="605" spans="1:20">
      <c r="A605" s="30"/>
      <c r="H605" s="30"/>
      <c r="K605" s="31" t="str">
        <f t="shared" si="9"/>
        <v/>
      </c>
      <c r="S605" s="2"/>
      <c r="T605" s="6"/>
    </row>
    <row r="606" spans="1:20">
      <c r="A606" s="30"/>
      <c r="H606" s="30"/>
      <c r="K606" s="31" t="str">
        <f t="shared" si="9"/>
        <v/>
      </c>
      <c r="S606" s="2"/>
      <c r="T606" s="6"/>
    </row>
    <row r="607" spans="1:20">
      <c r="A607" s="30"/>
      <c r="H607" s="30"/>
      <c r="K607" s="31" t="str">
        <f t="shared" si="9"/>
        <v/>
      </c>
      <c r="S607" s="2"/>
      <c r="T607" s="6"/>
    </row>
    <row r="608" spans="1:20">
      <c r="A608" s="30"/>
      <c r="H608" s="30"/>
      <c r="K608" s="31" t="str">
        <f t="shared" si="9"/>
        <v/>
      </c>
      <c r="S608" s="2"/>
      <c r="T608" s="6"/>
    </row>
    <row r="609" spans="1:20">
      <c r="A609" s="30"/>
      <c r="H609" s="30"/>
      <c r="K609" s="31" t="str">
        <f t="shared" si="9"/>
        <v/>
      </c>
      <c r="S609" s="2"/>
      <c r="T609" s="6"/>
    </row>
    <row r="610" spans="1:20">
      <c r="A610" s="30"/>
      <c r="H610" s="30"/>
      <c r="K610" s="31" t="str">
        <f t="shared" si="9"/>
        <v/>
      </c>
      <c r="S610" s="2"/>
      <c r="T610" s="6"/>
    </row>
    <row r="611" spans="1:20">
      <c r="A611" s="30"/>
      <c r="H611" s="30"/>
      <c r="K611" s="31" t="str">
        <f t="shared" si="9"/>
        <v/>
      </c>
      <c r="S611" s="2"/>
      <c r="T611" s="6"/>
    </row>
    <row r="612" spans="1:20">
      <c r="A612" s="30"/>
      <c r="H612" s="30"/>
      <c r="K612" s="31" t="str">
        <f t="shared" si="9"/>
        <v/>
      </c>
      <c r="S612" s="2"/>
      <c r="T612" s="6"/>
    </row>
    <row r="613" spans="1:20">
      <c r="A613" s="30"/>
      <c r="H613" s="30"/>
      <c r="K613" s="31" t="str">
        <f t="shared" si="9"/>
        <v/>
      </c>
      <c r="S613" s="2"/>
      <c r="T613" s="6"/>
    </row>
    <row r="614" spans="1:20">
      <c r="A614" s="30"/>
      <c r="H614" s="30"/>
      <c r="K614" s="31" t="str">
        <f t="shared" si="9"/>
        <v/>
      </c>
      <c r="S614" s="2"/>
      <c r="T614" s="6"/>
    </row>
    <row r="615" spans="1:20">
      <c r="A615" s="30"/>
      <c r="H615" s="30"/>
      <c r="K615" s="31" t="str">
        <f t="shared" si="9"/>
        <v/>
      </c>
      <c r="S615" s="2"/>
      <c r="T615" s="6"/>
    </row>
    <row r="616" spans="1:20">
      <c r="A616" s="30"/>
      <c r="H616" s="30"/>
      <c r="K616" s="31" t="str">
        <f t="shared" si="9"/>
        <v/>
      </c>
      <c r="S616" s="2"/>
      <c r="T616" s="6"/>
    </row>
    <row r="617" spans="1:20">
      <c r="A617" s="30"/>
      <c r="H617" s="30"/>
      <c r="K617" s="31" t="str">
        <f t="shared" si="9"/>
        <v/>
      </c>
      <c r="S617" s="2"/>
      <c r="T617" s="6"/>
    </row>
    <row r="618" spans="1:20">
      <c r="A618" s="30"/>
      <c r="H618" s="30"/>
      <c r="K618" s="31" t="str">
        <f t="shared" si="9"/>
        <v/>
      </c>
      <c r="S618" s="2"/>
      <c r="T618" s="6"/>
    </row>
    <row r="619" spans="1:20">
      <c r="A619" s="30"/>
      <c r="H619" s="30"/>
      <c r="K619" s="31" t="str">
        <f t="shared" si="9"/>
        <v/>
      </c>
      <c r="S619" s="2"/>
      <c r="T619" s="6"/>
    </row>
    <row r="620" spans="1:20">
      <c r="A620" s="30"/>
      <c r="H620" s="30"/>
      <c r="K620" s="31" t="str">
        <f t="shared" si="9"/>
        <v/>
      </c>
      <c r="S620" s="2"/>
      <c r="T620" s="6"/>
    </row>
    <row r="621" spans="1:20">
      <c r="A621" s="30"/>
      <c r="H621" s="30"/>
      <c r="K621" s="31" t="str">
        <f t="shared" si="9"/>
        <v/>
      </c>
      <c r="S621" s="2"/>
      <c r="T621" s="6"/>
    </row>
    <row r="622" spans="1:20">
      <c r="A622" s="30"/>
      <c r="H622" s="30"/>
      <c r="K622" s="31" t="str">
        <f t="shared" si="9"/>
        <v/>
      </c>
      <c r="S622" s="2"/>
      <c r="T622" s="6"/>
    </row>
    <row r="623" spans="1:20">
      <c r="A623" s="30"/>
      <c r="H623" s="30"/>
      <c r="K623" s="31" t="str">
        <f t="shared" si="9"/>
        <v/>
      </c>
      <c r="S623" s="2"/>
      <c r="T623" s="6"/>
    </row>
    <row r="624" spans="1:20">
      <c r="A624" s="30"/>
      <c r="H624" s="30"/>
      <c r="K624" s="31" t="str">
        <f t="shared" si="9"/>
        <v/>
      </c>
      <c r="S624" s="2"/>
      <c r="T624" s="6"/>
    </row>
    <row r="625" spans="1:20">
      <c r="A625" s="30"/>
      <c r="H625" s="30"/>
      <c r="K625" s="31" t="str">
        <f t="shared" si="9"/>
        <v/>
      </c>
      <c r="S625" s="2"/>
      <c r="T625" s="6"/>
    </row>
    <row r="626" spans="1:20">
      <c r="A626" s="30"/>
      <c r="H626" s="30"/>
      <c r="K626" s="31" t="str">
        <f t="shared" si="9"/>
        <v/>
      </c>
      <c r="S626" s="2"/>
      <c r="T626" s="6"/>
    </row>
    <row r="627" spans="1:20">
      <c r="A627" s="30"/>
      <c r="H627" s="30"/>
      <c r="K627" s="31" t="str">
        <f t="shared" si="9"/>
        <v/>
      </c>
      <c r="S627" s="2"/>
      <c r="T627" s="6"/>
    </row>
    <row r="628" spans="1:20">
      <c r="A628" s="30"/>
      <c r="H628" s="30"/>
      <c r="K628" s="31" t="str">
        <f t="shared" si="9"/>
        <v/>
      </c>
      <c r="S628" s="2"/>
      <c r="T628" s="6"/>
    </row>
    <row r="629" spans="1:20">
      <c r="A629" s="30"/>
      <c r="H629" s="30"/>
      <c r="K629" s="31" t="str">
        <f t="shared" si="9"/>
        <v/>
      </c>
      <c r="S629" s="2"/>
      <c r="T629" s="6"/>
    </row>
    <row r="630" spans="1:20">
      <c r="A630" s="30"/>
      <c r="H630" s="30"/>
      <c r="K630" s="31" t="str">
        <f t="shared" si="9"/>
        <v/>
      </c>
      <c r="S630" s="2"/>
      <c r="T630" s="6"/>
    </row>
    <row r="631" spans="1:20">
      <c r="A631" s="30"/>
      <c r="H631" s="30"/>
      <c r="K631" s="31" t="str">
        <f t="shared" si="9"/>
        <v/>
      </c>
      <c r="S631" s="2"/>
      <c r="T631" s="6"/>
    </row>
    <row r="632" spans="1:20">
      <c r="A632" s="30"/>
      <c r="H632" s="30"/>
      <c r="K632" s="31" t="str">
        <f t="shared" si="9"/>
        <v/>
      </c>
      <c r="S632" s="2"/>
      <c r="T632" s="6"/>
    </row>
    <row r="633" spans="1:20">
      <c r="A633" s="30"/>
      <c r="H633" s="30"/>
      <c r="K633" s="31" t="str">
        <f t="shared" si="9"/>
        <v/>
      </c>
      <c r="S633" s="2"/>
      <c r="T633" s="6"/>
    </row>
    <row r="634" spans="1:20">
      <c r="A634" s="30"/>
      <c r="H634" s="30"/>
      <c r="K634" s="31" t="str">
        <f t="shared" si="9"/>
        <v/>
      </c>
      <c r="S634" s="2"/>
      <c r="T634" s="6"/>
    </row>
    <row r="635" spans="1:20">
      <c r="A635" s="30"/>
      <c r="H635" s="30"/>
      <c r="K635" s="31" t="str">
        <f t="shared" si="9"/>
        <v/>
      </c>
      <c r="S635" s="2"/>
      <c r="T635" s="6"/>
    </row>
    <row r="636" spans="1:20">
      <c r="A636" s="30"/>
      <c r="H636" s="30"/>
      <c r="K636" s="31" t="str">
        <f t="shared" si="9"/>
        <v/>
      </c>
      <c r="S636" s="2"/>
      <c r="T636" s="6"/>
    </row>
    <row r="637" spans="1:20">
      <c r="A637" s="30"/>
      <c r="H637" s="30"/>
      <c r="K637" s="31" t="str">
        <f t="shared" si="9"/>
        <v/>
      </c>
      <c r="S637" s="2"/>
      <c r="T637" s="6"/>
    </row>
    <row r="638" spans="1:20">
      <c r="A638" s="30"/>
      <c r="H638" s="30"/>
      <c r="K638" s="31" t="str">
        <f t="shared" si="9"/>
        <v/>
      </c>
      <c r="S638" s="2"/>
      <c r="T638" s="6"/>
    </row>
    <row r="639" spans="1:20">
      <c r="A639" s="30"/>
      <c r="H639" s="30"/>
      <c r="K639" s="31" t="str">
        <f t="shared" si="9"/>
        <v/>
      </c>
      <c r="S639" s="2"/>
      <c r="T639" s="6"/>
    </row>
    <row r="640" spans="1:20">
      <c r="A640" s="30"/>
      <c r="H640" s="30"/>
      <c r="K640" s="31" t="str">
        <f t="shared" si="9"/>
        <v/>
      </c>
      <c r="S640" s="2"/>
      <c r="T640" s="6"/>
    </row>
    <row r="641" spans="1:20">
      <c r="A641" s="30"/>
      <c r="H641" s="30"/>
      <c r="K641" s="31" t="str">
        <f t="shared" si="9"/>
        <v/>
      </c>
      <c r="S641" s="2"/>
      <c r="T641" s="6"/>
    </row>
    <row r="642" spans="1:20">
      <c r="A642" s="30"/>
      <c r="H642" s="30"/>
      <c r="K642" s="31" t="str">
        <f t="shared" ref="K642:K705" si="10">IF(OR(A642="",B642=""),"",A642-WEEKDAY(A642,2)+1)</f>
        <v/>
      </c>
      <c r="S642" s="2"/>
      <c r="T642" s="6"/>
    </row>
    <row r="643" spans="1:20">
      <c r="A643" s="30"/>
      <c r="H643" s="30"/>
      <c r="K643" s="31" t="str">
        <f t="shared" si="10"/>
        <v/>
      </c>
      <c r="S643" s="2"/>
      <c r="T643" s="6"/>
    </row>
    <row r="644" spans="1:20">
      <c r="A644" s="30"/>
      <c r="H644" s="30"/>
      <c r="K644" s="31" t="str">
        <f t="shared" si="10"/>
        <v/>
      </c>
      <c r="S644" s="2"/>
      <c r="T644" s="6"/>
    </row>
    <row r="645" spans="1:20">
      <c r="A645" s="30"/>
      <c r="H645" s="30"/>
      <c r="K645" s="31" t="str">
        <f t="shared" si="10"/>
        <v/>
      </c>
      <c r="S645" s="2"/>
      <c r="T645" s="6"/>
    </row>
    <row r="646" spans="1:20">
      <c r="A646" s="30"/>
      <c r="H646" s="30"/>
      <c r="K646" s="31" t="str">
        <f t="shared" si="10"/>
        <v/>
      </c>
      <c r="S646" s="2"/>
      <c r="T646" s="6"/>
    </row>
    <row r="647" spans="1:20">
      <c r="A647" s="30"/>
      <c r="H647" s="30"/>
      <c r="K647" s="31" t="str">
        <f t="shared" si="10"/>
        <v/>
      </c>
      <c r="S647" s="2"/>
      <c r="T647" s="6"/>
    </row>
    <row r="648" spans="1:20">
      <c r="A648" s="30"/>
      <c r="H648" s="30"/>
      <c r="K648" s="31" t="str">
        <f t="shared" si="10"/>
        <v/>
      </c>
      <c r="S648" s="2"/>
      <c r="T648" s="6"/>
    </row>
    <row r="649" spans="1:20">
      <c r="A649" s="30"/>
      <c r="H649" s="30"/>
      <c r="K649" s="31" t="str">
        <f t="shared" si="10"/>
        <v/>
      </c>
      <c r="S649" s="2"/>
      <c r="T649" s="6"/>
    </row>
    <row r="650" spans="1:20">
      <c r="A650" s="30"/>
      <c r="H650" s="30"/>
      <c r="K650" s="31" t="str">
        <f t="shared" si="10"/>
        <v/>
      </c>
      <c r="S650" s="2"/>
      <c r="T650" s="6"/>
    </row>
    <row r="651" spans="1:20">
      <c r="A651" s="30"/>
      <c r="H651" s="30"/>
      <c r="K651" s="31" t="str">
        <f t="shared" si="10"/>
        <v/>
      </c>
      <c r="S651" s="2"/>
      <c r="T651" s="6"/>
    </row>
    <row r="652" spans="1:20">
      <c r="A652" s="30"/>
      <c r="H652" s="30"/>
      <c r="K652" s="31" t="str">
        <f t="shared" si="10"/>
        <v/>
      </c>
      <c r="S652" s="2"/>
      <c r="T652" s="6"/>
    </row>
    <row r="653" spans="1:20">
      <c r="A653" s="30"/>
      <c r="H653" s="30"/>
      <c r="K653" s="31" t="str">
        <f t="shared" si="10"/>
        <v/>
      </c>
      <c r="S653" s="2"/>
      <c r="T653" s="6"/>
    </row>
    <row r="654" spans="1:20">
      <c r="A654" s="30"/>
      <c r="H654" s="30"/>
      <c r="K654" s="31" t="str">
        <f t="shared" si="10"/>
        <v/>
      </c>
      <c r="S654" s="2"/>
      <c r="T654" s="6"/>
    </row>
    <row r="655" spans="1:20">
      <c r="A655" s="30"/>
      <c r="H655" s="30"/>
      <c r="K655" s="31" t="str">
        <f t="shared" si="10"/>
        <v/>
      </c>
      <c r="S655" s="2"/>
      <c r="T655" s="6"/>
    </row>
    <row r="656" spans="1:20">
      <c r="A656" s="30"/>
      <c r="H656" s="30"/>
      <c r="K656" s="31" t="str">
        <f t="shared" si="10"/>
        <v/>
      </c>
      <c r="S656" s="2"/>
      <c r="T656" s="6"/>
    </row>
    <row r="657" spans="1:20">
      <c r="A657" s="30"/>
      <c r="H657" s="30"/>
      <c r="K657" s="31" t="str">
        <f t="shared" si="10"/>
        <v/>
      </c>
      <c r="S657" s="2"/>
      <c r="T657" s="6"/>
    </row>
    <row r="658" spans="1:20">
      <c r="A658" s="30"/>
      <c r="H658" s="30"/>
      <c r="K658" s="31" t="str">
        <f t="shared" si="10"/>
        <v/>
      </c>
      <c r="S658" s="2"/>
      <c r="T658" s="6"/>
    </row>
    <row r="659" spans="1:20">
      <c r="A659" s="30"/>
      <c r="H659" s="30"/>
      <c r="K659" s="31" t="str">
        <f t="shared" si="10"/>
        <v/>
      </c>
      <c r="S659" s="2"/>
      <c r="T659" s="6"/>
    </row>
    <row r="660" spans="1:20">
      <c r="A660" s="30"/>
      <c r="H660" s="30"/>
      <c r="K660" s="31" t="str">
        <f t="shared" si="10"/>
        <v/>
      </c>
      <c r="S660" s="2"/>
      <c r="T660" s="6"/>
    </row>
    <row r="661" spans="1:20">
      <c r="A661" s="30"/>
      <c r="H661" s="30"/>
      <c r="K661" s="31" t="str">
        <f t="shared" si="10"/>
        <v/>
      </c>
      <c r="S661" s="2"/>
      <c r="T661" s="6"/>
    </row>
    <row r="662" spans="1:20">
      <c r="A662" s="30"/>
      <c r="H662" s="30"/>
      <c r="K662" s="31" t="str">
        <f t="shared" si="10"/>
        <v/>
      </c>
      <c r="S662" s="2"/>
      <c r="T662" s="6"/>
    </row>
    <row r="663" spans="1:20">
      <c r="A663" s="30"/>
      <c r="H663" s="30"/>
      <c r="K663" s="31" t="str">
        <f t="shared" si="10"/>
        <v/>
      </c>
      <c r="S663" s="2"/>
      <c r="T663" s="6"/>
    </row>
    <row r="664" spans="1:20">
      <c r="A664" s="30"/>
      <c r="H664" s="30"/>
      <c r="K664" s="31" t="str">
        <f t="shared" si="10"/>
        <v/>
      </c>
      <c r="S664" s="2"/>
      <c r="T664" s="6"/>
    </row>
    <row r="665" spans="1:20">
      <c r="A665" s="30"/>
      <c r="H665" s="30"/>
      <c r="K665" s="31" t="str">
        <f t="shared" si="10"/>
        <v/>
      </c>
      <c r="S665" s="2"/>
      <c r="T665" s="6"/>
    </row>
    <row r="666" spans="1:20">
      <c r="A666" s="30"/>
      <c r="H666" s="30"/>
      <c r="K666" s="31" t="str">
        <f t="shared" si="10"/>
        <v/>
      </c>
      <c r="S666" s="2"/>
      <c r="T666" s="6"/>
    </row>
    <row r="667" spans="1:20">
      <c r="A667" s="30"/>
      <c r="H667" s="30"/>
      <c r="K667" s="31" t="str">
        <f t="shared" si="10"/>
        <v/>
      </c>
      <c r="S667" s="2"/>
      <c r="T667" s="6"/>
    </row>
    <row r="668" spans="1:20">
      <c r="A668" s="30"/>
      <c r="H668" s="30"/>
      <c r="K668" s="31" t="str">
        <f t="shared" si="10"/>
        <v/>
      </c>
      <c r="S668" s="2"/>
      <c r="T668" s="6"/>
    </row>
    <row r="669" spans="1:20">
      <c r="A669" s="30"/>
      <c r="H669" s="30"/>
      <c r="K669" s="31" t="str">
        <f t="shared" si="10"/>
        <v/>
      </c>
      <c r="S669" s="2"/>
      <c r="T669" s="6"/>
    </row>
    <row r="670" spans="1:20">
      <c r="A670" s="30"/>
      <c r="H670" s="30"/>
      <c r="K670" s="31" t="str">
        <f t="shared" si="10"/>
        <v/>
      </c>
      <c r="S670" s="2"/>
      <c r="T670" s="6"/>
    </row>
    <row r="671" spans="1:20">
      <c r="A671" s="30"/>
      <c r="H671" s="30"/>
      <c r="K671" s="31" t="str">
        <f t="shared" si="10"/>
        <v/>
      </c>
      <c r="S671" s="2"/>
      <c r="T671" s="6"/>
    </row>
    <row r="672" spans="1:20">
      <c r="A672" s="30"/>
      <c r="H672" s="30"/>
      <c r="K672" s="31" t="str">
        <f t="shared" si="10"/>
        <v/>
      </c>
      <c r="S672" s="2"/>
      <c r="T672" s="6"/>
    </row>
    <row r="673" spans="1:20">
      <c r="A673" s="30"/>
      <c r="H673" s="30"/>
      <c r="K673" s="31" t="str">
        <f t="shared" si="10"/>
        <v/>
      </c>
      <c r="S673" s="2"/>
      <c r="T673" s="6"/>
    </row>
    <row r="674" spans="1:20">
      <c r="A674" s="30"/>
      <c r="H674" s="30"/>
      <c r="K674" s="31" t="str">
        <f t="shared" si="10"/>
        <v/>
      </c>
      <c r="S674" s="2"/>
      <c r="T674" s="6"/>
    </row>
    <row r="675" spans="1:20">
      <c r="A675" s="30"/>
      <c r="H675" s="30"/>
      <c r="K675" s="31" t="str">
        <f t="shared" si="10"/>
        <v/>
      </c>
      <c r="S675" s="2"/>
      <c r="T675" s="6"/>
    </row>
    <row r="676" spans="1:20">
      <c r="A676" s="30"/>
      <c r="H676" s="30"/>
      <c r="K676" s="31" t="str">
        <f t="shared" si="10"/>
        <v/>
      </c>
      <c r="S676" s="2"/>
      <c r="T676" s="6"/>
    </row>
    <row r="677" spans="1:20">
      <c r="A677" s="30"/>
      <c r="H677" s="30"/>
      <c r="K677" s="31" t="str">
        <f t="shared" si="10"/>
        <v/>
      </c>
      <c r="S677" s="2"/>
      <c r="T677" s="6"/>
    </row>
    <row r="678" spans="1:20">
      <c r="A678" s="30"/>
      <c r="H678" s="30"/>
      <c r="K678" s="31" t="str">
        <f t="shared" si="10"/>
        <v/>
      </c>
      <c r="S678" s="2"/>
      <c r="T678" s="6"/>
    </row>
    <row r="679" spans="1:20">
      <c r="A679" s="30"/>
      <c r="H679" s="30"/>
      <c r="K679" s="31" t="str">
        <f t="shared" si="10"/>
        <v/>
      </c>
      <c r="S679" s="2"/>
      <c r="T679" s="6"/>
    </row>
    <row r="680" spans="1:20">
      <c r="A680" s="30"/>
      <c r="H680" s="30"/>
      <c r="K680" s="31" t="str">
        <f t="shared" si="10"/>
        <v/>
      </c>
      <c r="S680" s="2"/>
      <c r="T680" s="6"/>
    </row>
    <row r="681" spans="1:20">
      <c r="A681" s="30"/>
      <c r="H681" s="30"/>
      <c r="K681" s="31" t="str">
        <f t="shared" si="10"/>
        <v/>
      </c>
      <c r="S681" s="2"/>
      <c r="T681" s="6"/>
    </row>
    <row r="682" spans="1:20">
      <c r="A682" s="30"/>
      <c r="H682" s="30"/>
      <c r="K682" s="31" t="str">
        <f t="shared" si="10"/>
        <v/>
      </c>
      <c r="S682" s="2"/>
      <c r="T682" s="6"/>
    </row>
    <row r="683" spans="1:20">
      <c r="A683" s="30"/>
      <c r="H683" s="30"/>
      <c r="K683" s="31" t="str">
        <f t="shared" si="10"/>
        <v/>
      </c>
      <c r="S683" s="2"/>
      <c r="T683" s="6"/>
    </row>
    <row r="684" spans="1:20">
      <c r="A684" s="30"/>
      <c r="H684" s="30"/>
      <c r="K684" s="31" t="str">
        <f t="shared" si="10"/>
        <v/>
      </c>
      <c r="S684" s="2"/>
      <c r="T684" s="6"/>
    </row>
    <row r="685" spans="1:20">
      <c r="A685" s="30"/>
      <c r="H685" s="30"/>
      <c r="K685" s="31" t="str">
        <f t="shared" si="10"/>
        <v/>
      </c>
      <c r="S685" s="2"/>
      <c r="T685" s="6"/>
    </row>
    <row r="686" spans="1:20">
      <c r="A686" s="30"/>
      <c r="H686" s="30"/>
      <c r="K686" s="31" t="str">
        <f t="shared" si="10"/>
        <v/>
      </c>
      <c r="S686" s="2"/>
      <c r="T686" s="6"/>
    </row>
    <row r="687" spans="1:20">
      <c r="A687" s="30"/>
      <c r="H687" s="30"/>
      <c r="K687" s="31" t="str">
        <f t="shared" si="10"/>
        <v/>
      </c>
      <c r="S687" s="2"/>
      <c r="T687" s="6"/>
    </row>
    <row r="688" spans="1:20">
      <c r="A688" s="30"/>
      <c r="H688" s="30"/>
      <c r="K688" s="31" t="str">
        <f t="shared" si="10"/>
        <v/>
      </c>
      <c r="S688" s="2"/>
      <c r="T688" s="6"/>
    </row>
    <row r="689" spans="1:20">
      <c r="A689" s="30"/>
      <c r="H689" s="30"/>
      <c r="K689" s="31" t="str">
        <f t="shared" si="10"/>
        <v/>
      </c>
      <c r="S689" s="2"/>
      <c r="T689" s="6"/>
    </row>
    <row r="690" spans="1:20">
      <c r="A690" s="30"/>
      <c r="H690" s="30"/>
      <c r="K690" s="31" t="str">
        <f t="shared" si="10"/>
        <v/>
      </c>
      <c r="S690" s="2"/>
      <c r="T690" s="6"/>
    </row>
    <row r="691" spans="1:20">
      <c r="A691" s="30"/>
      <c r="H691" s="30"/>
      <c r="K691" s="31" t="str">
        <f t="shared" si="10"/>
        <v/>
      </c>
      <c r="S691" s="2"/>
      <c r="T691" s="6"/>
    </row>
    <row r="692" spans="1:20">
      <c r="A692" s="30"/>
      <c r="H692" s="30"/>
      <c r="K692" s="31" t="str">
        <f t="shared" si="10"/>
        <v/>
      </c>
      <c r="S692" s="2"/>
      <c r="T692" s="6"/>
    </row>
    <row r="693" spans="1:20">
      <c r="A693" s="30"/>
      <c r="H693" s="30"/>
      <c r="K693" s="31" t="str">
        <f t="shared" si="10"/>
        <v/>
      </c>
      <c r="S693" s="2"/>
      <c r="T693" s="6"/>
    </row>
    <row r="694" spans="1:20">
      <c r="A694" s="30"/>
      <c r="H694" s="30"/>
      <c r="K694" s="31" t="str">
        <f t="shared" si="10"/>
        <v/>
      </c>
      <c r="S694" s="2"/>
      <c r="T694" s="6"/>
    </row>
    <row r="695" spans="1:20">
      <c r="A695" s="30"/>
      <c r="H695" s="30"/>
      <c r="K695" s="31" t="str">
        <f t="shared" si="10"/>
        <v/>
      </c>
      <c r="S695" s="2"/>
      <c r="T695" s="6"/>
    </row>
    <row r="696" spans="1:20">
      <c r="A696" s="30"/>
      <c r="H696" s="30"/>
      <c r="K696" s="31" t="str">
        <f t="shared" si="10"/>
        <v/>
      </c>
      <c r="S696" s="2"/>
      <c r="T696" s="6"/>
    </row>
    <row r="697" spans="1:20">
      <c r="A697" s="30"/>
      <c r="H697" s="30"/>
      <c r="K697" s="31" t="str">
        <f t="shared" si="10"/>
        <v/>
      </c>
      <c r="S697" s="2"/>
      <c r="T697" s="6"/>
    </row>
    <row r="698" spans="1:20">
      <c r="A698" s="30"/>
      <c r="H698" s="30"/>
      <c r="K698" s="31" t="str">
        <f t="shared" si="10"/>
        <v/>
      </c>
      <c r="S698" s="2"/>
      <c r="T698" s="6"/>
    </row>
    <row r="699" spans="1:20">
      <c r="A699" s="30"/>
      <c r="H699" s="30"/>
      <c r="K699" s="31" t="str">
        <f t="shared" si="10"/>
        <v/>
      </c>
      <c r="S699" s="2"/>
      <c r="T699" s="6"/>
    </row>
    <row r="700" spans="1:20">
      <c r="A700" s="30"/>
      <c r="H700" s="30"/>
      <c r="K700" s="31" t="str">
        <f t="shared" si="10"/>
        <v/>
      </c>
      <c r="S700" s="2"/>
      <c r="T700" s="6"/>
    </row>
    <row r="701" spans="1:20">
      <c r="A701" s="30"/>
      <c r="H701" s="30"/>
      <c r="K701" s="31" t="str">
        <f t="shared" si="10"/>
        <v/>
      </c>
      <c r="S701" s="2"/>
      <c r="T701" s="6"/>
    </row>
    <row r="702" spans="1:20">
      <c r="A702" s="30"/>
      <c r="H702" s="30"/>
      <c r="K702" s="31" t="str">
        <f t="shared" si="10"/>
        <v/>
      </c>
      <c r="S702" s="2"/>
      <c r="T702" s="6"/>
    </row>
    <row r="703" spans="1:20">
      <c r="A703" s="30"/>
      <c r="H703" s="30"/>
      <c r="K703" s="31" t="str">
        <f t="shared" si="10"/>
        <v/>
      </c>
      <c r="S703" s="2"/>
      <c r="T703" s="6"/>
    </row>
    <row r="704" spans="1:20">
      <c r="A704" s="30"/>
      <c r="H704" s="30"/>
      <c r="K704" s="31" t="str">
        <f t="shared" si="10"/>
        <v/>
      </c>
      <c r="S704" s="2"/>
      <c r="T704" s="6"/>
    </row>
    <row r="705" spans="1:20">
      <c r="A705" s="30"/>
      <c r="H705" s="30"/>
      <c r="K705" s="31" t="str">
        <f t="shared" si="10"/>
        <v/>
      </c>
      <c r="S705" s="2"/>
      <c r="T705" s="6"/>
    </row>
    <row r="706" spans="1:20">
      <c r="A706" s="30"/>
      <c r="H706" s="30"/>
      <c r="K706" s="31" t="str">
        <f t="shared" ref="K706:K769" si="11">IF(OR(A706="",B706=""),"",A706-WEEKDAY(A706,2)+1)</f>
        <v/>
      </c>
      <c r="S706" s="2"/>
      <c r="T706" s="6"/>
    </row>
    <row r="707" spans="1:20">
      <c r="A707" s="30"/>
      <c r="H707" s="30"/>
      <c r="K707" s="31" t="str">
        <f t="shared" si="11"/>
        <v/>
      </c>
      <c r="S707" s="2"/>
      <c r="T707" s="6"/>
    </row>
    <row r="708" spans="1:20">
      <c r="A708" s="30"/>
      <c r="H708" s="30"/>
      <c r="K708" s="31" t="str">
        <f t="shared" si="11"/>
        <v/>
      </c>
      <c r="S708" s="2"/>
      <c r="T708" s="6"/>
    </row>
    <row r="709" spans="1:20">
      <c r="A709" s="30"/>
      <c r="H709" s="30"/>
      <c r="K709" s="31" t="str">
        <f t="shared" si="11"/>
        <v/>
      </c>
      <c r="S709" s="2"/>
      <c r="T709" s="6"/>
    </row>
    <row r="710" spans="1:20">
      <c r="A710" s="30"/>
      <c r="H710" s="30"/>
      <c r="K710" s="31" t="str">
        <f t="shared" si="11"/>
        <v/>
      </c>
      <c r="S710" s="2"/>
      <c r="T710" s="6"/>
    </row>
    <row r="711" spans="1:20">
      <c r="A711" s="30"/>
      <c r="H711" s="30"/>
      <c r="K711" s="31" t="str">
        <f t="shared" si="11"/>
        <v/>
      </c>
      <c r="S711" s="2"/>
      <c r="T711" s="6"/>
    </row>
    <row r="712" spans="1:20">
      <c r="A712" s="30"/>
      <c r="H712" s="30"/>
      <c r="K712" s="31" t="str">
        <f t="shared" si="11"/>
        <v/>
      </c>
      <c r="S712" s="2"/>
      <c r="T712" s="6"/>
    </row>
    <row r="713" spans="1:20">
      <c r="A713" s="30"/>
      <c r="H713" s="30"/>
      <c r="K713" s="31" t="str">
        <f t="shared" si="11"/>
        <v/>
      </c>
      <c r="S713" s="2"/>
      <c r="T713" s="6"/>
    </row>
    <row r="714" spans="1:20">
      <c r="A714" s="30"/>
      <c r="H714" s="30"/>
      <c r="K714" s="31" t="str">
        <f t="shared" si="11"/>
        <v/>
      </c>
      <c r="S714" s="2"/>
      <c r="T714" s="6"/>
    </row>
    <row r="715" spans="1:20">
      <c r="A715" s="30"/>
      <c r="H715" s="30"/>
      <c r="K715" s="31" t="str">
        <f t="shared" si="11"/>
        <v/>
      </c>
      <c r="S715" s="2"/>
      <c r="T715" s="6"/>
    </row>
    <row r="716" spans="1:20">
      <c r="A716" s="30"/>
      <c r="H716" s="30"/>
      <c r="K716" s="31" t="str">
        <f t="shared" si="11"/>
        <v/>
      </c>
      <c r="S716" s="2"/>
      <c r="T716" s="6"/>
    </row>
    <row r="717" spans="1:20">
      <c r="A717" s="30"/>
      <c r="H717" s="30"/>
      <c r="K717" s="31" t="str">
        <f t="shared" si="11"/>
        <v/>
      </c>
      <c r="S717" s="2"/>
      <c r="T717" s="6"/>
    </row>
    <row r="718" spans="1:20">
      <c r="A718" s="30"/>
      <c r="H718" s="30"/>
      <c r="K718" s="31" t="str">
        <f t="shared" si="11"/>
        <v/>
      </c>
      <c r="S718" s="2"/>
      <c r="T718" s="6"/>
    </row>
    <row r="719" spans="1:20">
      <c r="A719" s="30"/>
      <c r="H719" s="30"/>
      <c r="K719" s="31" t="str">
        <f t="shared" si="11"/>
        <v/>
      </c>
      <c r="S719" s="2"/>
      <c r="T719" s="6"/>
    </row>
    <row r="720" spans="1:20">
      <c r="A720" s="30"/>
      <c r="H720" s="30"/>
      <c r="K720" s="31" t="str">
        <f t="shared" si="11"/>
        <v/>
      </c>
      <c r="S720" s="2"/>
      <c r="T720" s="6"/>
    </row>
    <row r="721" spans="1:20">
      <c r="A721" s="30"/>
      <c r="H721" s="30"/>
      <c r="K721" s="31" t="str">
        <f t="shared" si="11"/>
        <v/>
      </c>
      <c r="S721" s="2"/>
      <c r="T721" s="6"/>
    </row>
    <row r="722" spans="1:20">
      <c r="A722" s="30"/>
      <c r="H722" s="30"/>
      <c r="K722" s="31" t="str">
        <f t="shared" si="11"/>
        <v/>
      </c>
      <c r="S722" s="2"/>
      <c r="T722" s="6"/>
    </row>
    <row r="723" spans="1:20">
      <c r="A723" s="30"/>
      <c r="H723" s="30"/>
      <c r="K723" s="31" t="str">
        <f t="shared" si="11"/>
        <v/>
      </c>
      <c r="S723" s="2"/>
      <c r="T723" s="6"/>
    </row>
    <row r="724" spans="1:20">
      <c r="A724" s="30"/>
      <c r="H724" s="30"/>
      <c r="K724" s="31" t="str">
        <f t="shared" si="11"/>
        <v/>
      </c>
      <c r="S724" s="2"/>
      <c r="T724" s="6"/>
    </row>
    <row r="725" spans="1:20">
      <c r="A725" s="30"/>
      <c r="H725" s="30"/>
      <c r="K725" s="31" t="str">
        <f t="shared" si="11"/>
        <v/>
      </c>
      <c r="S725" s="2"/>
      <c r="T725" s="6"/>
    </row>
    <row r="726" spans="1:20">
      <c r="A726" s="30"/>
      <c r="H726" s="30"/>
      <c r="K726" s="31" t="str">
        <f t="shared" si="11"/>
        <v/>
      </c>
      <c r="S726" s="2"/>
      <c r="T726" s="6"/>
    </row>
    <row r="727" spans="1:20">
      <c r="A727" s="30"/>
      <c r="H727" s="30"/>
      <c r="K727" s="31" t="str">
        <f t="shared" si="11"/>
        <v/>
      </c>
      <c r="S727" s="2"/>
      <c r="T727" s="6"/>
    </row>
    <row r="728" spans="1:20">
      <c r="A728" s="30"/>
      <c r="H728" s="30"/>
      <c r="K728" s="31" t="str">
        <f t="shared" si="11"/>
        <v/>
      </c>
      <c r="S728" s="2"/>
      <c r="T728" s="6"/>
    </row>
    <row r="729" spans="1:20">
      <c r="A729" s="30"/>
      <c r="H729" s="30"/>
      <c r="K729" s="31" t="str">
        <f t="shared" si="11"/>
        <v/>
      </c>
      <c r="S729" s="2"/>
      <c r="T729" s="6"/>
    </row>
    <row r="730" spans="1:20">
      <c r="A730" s="30"/>
      <c r="H730" s="30"/>
      <c r="K730" s="31" t="str">
        <f t="shared" si="11"/>
        <v/>
      </c>
      <c r="S730" s="2"/>
      <c r="T730" s="6"/>
    </row>
    <row r="731" spans="1:20">
      <c r="A731" s="30"/>
      <c r="H731" s="30"/>
      <c r="K731" s="31" t="str">
        <f t="shared" si="11"/>
        <v/>
      </c>
      <c r="S731" s="2"/>
      <c r="T731" s="6"/>
    </row>
    <row r="732" spans="1:20">
      <c r="A732" s="30"/>
      <c r="H732" s="30"/>
      <c r="K732" s="31" t="str">
        <f t="shared" si="11"/>
        <v/>
      </c>
      <c r="S732" s="2"/>
      <c r="T732" s="6"/>
    </row>
    <row r="733" spans="1:20">
      <c r="A733" s="30"/>
      <c r="H733" s="30"/>
      <c r="K733" s="31" t="str">
        <f t="shared" si="11"/>
        <v/>
      </c>
      <c r="S733" s="2"/>
      <c r="T733" s="6"/>
    </row>
    <row r="734" spans="1:20">
      <c r="A734" s="30"/>
      <c r="H734" s="30"/>
      <c r="K734" s="31" t="str">
        <f t="shared" si="11"/>
        <v/>
      </c>
      <c r="S734" s="2"/>
      <c r="T734" s="6"/>
    </row>
    <row r="735" spans="1:20">
      <c r="A735" s="30"/>
      <c r="H735" s="30"/>
      <c r="K735" s="31" t="str">
        <f t="shared" si="11"/>
        <v/>
      </c>
      <c r="S735" s="2"/>
      <c r="T735" s="6"/>
    </row>
    <row r="736" spans="1:20">
      <c r="A736" s="30"/>
      <c r="H736" s="30"/>
      <c r="K736" s="31" t="str">
        <f t="shared" si="11"/>
        <v/>
      </c>
      <c r="S736" s="2"/>
      <c r="T736" s="6"/>
    </row>
    <row r="737" spans="1:20">
      <c r="A737" s="30"/>
      <c r="H737" s="30"/>
      <c r="K737" s="31" t="str">
        <f t="shared" si="11"/>
        <v/>
      </c>
      <c r="S737" s="2"/>
      <c r="T737" s="6"/>
    </row>
    <row r="738" spans="1:20">
      <c r="A738" s="30"/>
      <c r="H738" s="30"/>
      <c r="K738" s="31" t="str">
        <f t="shared" si="11"/>
        <v/>
      </c>
      <c r="S738" s="2"/>
      <c r="T738" s="6"/>
    </row>
    <row r="739" spans="1:20">
      <c r="A739" s="30"/>
      <c r="H739" s="30"/>
      <c r="K739" s="31" t="str">
        <f t="shared" si="11"/>
        <v/>
      </c>
      <c r="S739" s="2"/>
      <c r="T739" s="6"/>
    </row>
    <row r="740" spans="1:20">
      <c r="A740" s="30"/>
      <c r="H740" s="30"/>
      <c r="K740" s="31" t="str">
        <f t="shared" si="11"/>
        <v/>
      </c>
      <c r="S740" s="2"/>
      <c r="T740" s="6"/>
    </row>
    <row r="741" spans="1:20">
      <c r="A741" s="30"/>
      <c r="H741" s="30"/>
      <c r="K741" s="31" t="str">
        <f t="shared" si="11"/>
        <v/>
      </c>
      <c r="S741" s="2"/>
      <c r="T741" s="6"/>
    </row>
    <row r="742" spans="1:20">
      <c r="A742" s="30"/>
      <c r="H742" s="30"/>
      <c r="K742" s="31" t="str">
        <f t="shared" si="11"/>
        <v/>
      </c>
      <c r="S742" s="2"/>
      <c r="T742" s="6"/>
    </row>
    <row r="743" spans="1:20">
      <c r="A743" s="30"/>
      <c r="H743" s="30"/>
      <c r="K743" s="31" t="str">
        <f t="shared" si="11"/>
        <v/>
      </c>
      <c r="S743" s="2"/>
      <c r="T743" s="6"/>
    </row>
    <row r="744" spans="1:20">
      <c r="A744" s="30"/>
      <c r="H744" s="30"/>
      <c r="K744" s="31" t="str">
        <f t="shared" si="11"/>
        <v/>
      </c>
      <c r="S744" s="2"/>
      <c r="T744" s="6"/>
    </row>
    <row r="745" spans="1:20">
      <c r="A745" s="30"/>
      <c r="H745" s="30"/>
      <c r="K745" s="31" t="str">
        <f t="shared" si="11"/>
        <v/>
      </c>
      <c r="S745" s="2"/>
      <c r="T745" s="6"/>
    </row>
    <row r="746" spans="1:20">
      <c r="A746" s="30"/>
      <c r="H746" s="30"/>
      <c r="K746" s="31" t="str">
        <f t="shared" si="11"/>
        <v/>
      </c>
      <c r="S746" s="2"/>
      <c r="T746" s="6"/>
    </row>
    <row r="747" spans="1:20">
      <c r="A747" s="30"/>
      <c r="H747" s="30"/>
      <c r="K747" s="31" t="str">
        <f t="shared" si="11"/>
        <v/>
      </c>
      <c r="S747" s="2"/>
      <c r="T747" s="6"/>
    </row>
    <row r="748" spans="1:20">
      <c r="A748" s="30"/>
      <c r="H748" s="30"/>
      <c r="K748" s="31" t="str">
        <f t="shared" si="11"/>
        <v/>
      </c>
      <c r="S748" s="2"/>
      <c r="T748" s="6"/>
    </row>
    <row r="749" spans="1:20">
      <c r="A749" s="30"/>
      <c r="H749" s="30"/>
      <c r="K749" s="31" t="str">
        <f t="shared" si="11"/>
        <v/>
      </c>
      <c r="S749" s="2"/>
      <c r="T749" s="6"/>
    </row>
    <row r="750" spans="1:20">
      <c r="A750" s="30"/>
      <c r="H750" s="30"/>
      <c r="K750" s="31" t="str">
        <f t="shared" si="11"/>
        <v/>
      </c>
      <c r="S750" s="2"/>
      <c r="T750" s="6"/>
    </row>
    <row r="751" spans="1:20">
      <c r="A751" s="30"/>
      <c r="H751" s="30"/>
      <c r="K751" s="31" t="str">
        <f t="shared" si="11"/>
        <v/>
      </c>
      <c r="S751" s="2"/>
      <c r="T751" s="6"/>
    </row>
    <row r="752" spans="1:20">
      <c r="A752" s="30"/>
      <c r="H752" s="30"/>
      <c r="K752" s="31" t="str">
        <f t="shared" si="11"/>
        <v/>
      </c>
      <c r="S752" s="2"/>
      <c r="T752" s="6"/>
    </row>
    <row r="753" spans="1:20">
      <c r="A753" s="30"/>
      <c r="H753" s="30"/>
      <c r="K753" s="31" t="str">
        <f t="shared" si="11"/>
        <v/>
      </c>
      <c r="S753" s="2"/>
      <c r="T753" s="6"/>
    </row>
    <row r="754" spans="1:20">
      <c r="A754" s="30"/>
      <c r="H754" s="30"/>
      <c r="K754" s="31" t="str">
        <f t="shared" si="11"/>
        <v/>
      </c>
      <c r="S754" s="2"/>
      <c r="T754" s="6"/>
    </row>
    <row r="755" spans="1:20">
      <c r="A755" s="30"/>
      <c r="H755" s="30"/>
      <c r="K755" s="31" t="str">
        <f t="shared" si="11"/>
        <v/>
      </c>
      <c r="S755" s="2"/>
      <c r="T755" s="6"/>
    </row>
    <row r="756" spans="1:20">
      <c r="A756" s="30"/>
      <c r="H756" s="30"/>
      <c r="K756" s="31" t="str">
        <f t="shared" si="11"/>
        <v/>
      </c>
      <c r="S756" s="2"/>
      <c r="T756" s="6"/>
    </row>
    <row r="757" spans="1:20">
      <c r="A757" s="30"/>
      <c r="H757" s="30"/>
      <c r="K757" s="31" t="str">
        <f t="shared" si="11"/>
        <v/>
      </c>
      <c r="S757" s="2"/>
      <c r="T757" s="6"/>
    </row>
    <row r="758" spans="1:20">
      <c r="A758" s="30"/>
      <c r="H758" s="30"/>
      <c r="K758" s="31" t="str">
        <f t="shared" si="11"/>
        <v/>
      </c>
      <c r="S758" s="2"/>
      <c r="T758" s="6"/>
    </row>
    <row r="759" spans="1:20">
      <c r="A759" s="30"/>
      <c r="H759" s="30"/>
      <c r="K759" s="31" t="str">
        <f t="shared" si="11"/>
        <v/>
      </c>
      <c r="S759" s="2"/>
      <c r="T759" s="6"/>
    </row>
    <row r="760" spans="1:20">
      <c r="A760" s="30"/>
      <c r="H760" s="30"/>
      <c r="K760" s="31" t="str">
        <f t="shared" si="11"/>
        <v/>
      </c>
      <c r="S760" s="2"/>
      <c r="T760" s="6"/>
    </row>
    <row r="761" spans="1:20">
      <c r="A761" s="30"/>
      <c r="H761" s="30"/>
      <c r="K761" s="31" t="str">
        <f t="shared" si="11"/>
        <v/>
      </c>
      <c r="S761" s="2"/>
      <c r="T761" s="6"/>
    </row>
    <row r="762" spans="1:20">
      <c r="A762" s="30"/>
      <c r="H762" s="30"/>
      <c r="K762" s="31" t="str">
        <f t="shared" si="11"/>
        <v/>
      </c>
      <c r="S762" s="2"/>
      <c r="T762" s="6"/>
    </row>
    <row r="763" spans="1:20">
      <c r="A763" s="30"/>
      <c r="H763" s="30"/>
      <c r="K763" s="31" t="str">
        <f t="shared" si="11"/>
        <v/>
      </c>
      <c r="S763" s="2"/>
      <c r="T763" s="6"/>
    </row>
    <row r="764" spans="1:20">
      <c r="A764" s="30"/>
      <c r="H764" s="30"/>
      <c r="K764" s="31" t="str">
        <f t="shared" si="11"/>
        <v/>
      </c>
      <c r="S764" s="2"/>
      <c r="T764" s="6"/>
    </row>
    <row r="765" spans="1:20">
      <c r="A765" s="30"/>
      <c r="H765" s="30"/>
      <c r="K765" s="31" t="str">
        <f t="shared" si="11"/>
        <v/>
      </c>
      <c r="S765" s="2"/>
      <c r="T765" s="6"/>
    </row>
    <row r="766" spans="1:20">
      <c r="A766" s="30"/>
      <c r="H766" s="30"/>
      <c r="K766" s="31" t="str">
        <f t="shared" si="11"/>
        <v/>
      </c>
      <c r="S766" s="2"/>
      <c r="T766" s="6"/>
    </row>
    <row r="767" spans="1:20">
      <c r="A767" s="30"/>
      <c r="H767" s="30"/>
      <c r="K767" s="31" t="str">
        <f t="shared" si="11"/>
        <v/>
      </c>
      <c r="S767" s="2"/>
      <c r="T767" s="6"/>
    </row>
    <row r="768" spans="1:20">
      <c r="A768" s="30"/>
      <c r="H768" s="30"/>
      <c r="K768" s="31" t="str">
        <f t="shared" si="11"/>
        <v/>
      </c>
      <c r="S768" s="2"/>
      <c r="T768" s="6"/>
    </row>
    <row r="769" spans="1:20">
      <c r="A769" s="30"/>
      <c r="H769" s="30"/>
      <c r="K769" s="31" t="str">
        <f t="shared" si="11"/>
        <v/>
      </c>
      <c r="S769" s="2"/>
      <c r="T769" s="6"/>
    </row>
    <row r="770" spans="1:20">
      <c r="A770" s="30"/>
      <c r="H770" s="30"/>
      <c r="K770" s="31" t="str">
        <f t="shared" ref="K770:K833" si="12">IF(OR(A770="",B770=""),"",A770-WEEKDAY(A770,2)+1)</f>
        <v/>
      </c>
      <c r="S770" s="2"/>
      <c r="T770" s="6"/>
    </row>
    <row r="771" spans="1:20">
      <c r="A771" s="30"/>
      <c r="H771" s="30"/>
      <c r="K771" s="31" t="str">
        <f t="shared" si="12"/>
        <v/>
      </c>
      <c r="S771" s="2"/>
      <c r="T771" s="6"/>
    </row>
    <row r="772" spans="1:20">
      <c r="A772" s="30"/>
      <c r="H772" s="30"/>
      <c r="K772" s="31" t="str">
        <f t="shared" si="12"/>
        <v/>
      </c>
      <c r="S772" s="2"/>
      <c r="T772" s="6"/>
    </row>
    <row r="773" spans="1:20">
      <c r="A773" s="30"/>
      <c r="H773" s="30"/>
      <c r="K773" s="31" t="str">
        <f t="shared" si="12"/>
        <v/>
      </c>
      <c r="S773" s="2"/>
      <c r="T773" s="6"/>
    </row>
    <row r="774" spans="1:20">
      <c r="A774" s="30"/>
      <c r="H774" s="30"/>
      <c r="K774" s="31" t="str">
        <f t="shared" si="12"/>
        <v/>
      </c>
      <c r="S774" s="2"/>
      <c r="T774" s="6"/>
    </row>
    <row r="775" spans="1:20">
      <c r="A775" s="30"/>
      <c r="H775" s="30"/>
      <c r="K775" s="31" t="str">
        <f t="shared" si="12"/>
        <v/>
      </c>
      <c r="S775" s="2"/>
      <c r="T775" s="6"/>
    </row>
    <row r="776" spans="1:20">
      <c r="A776" s="30"/>
      <c r="H776" s="30"/>
      <c r="K776" s="31" t="str">
        <f t="shared" si="12"/>
        <v/>
      </c>
      <c r="S776" s="2"/>
      <c r="T776" s="6"/>
    </row>
    <row r="777" spans="1:20">
      <c r="A777" s="30"/>
      <c r="H777" s="30"/>
      <c r="K777" s="31" t="str">
        <f t="shared" si="12"/>
        <v/>
      </c>
      <c r="S777" s="2"/>
      <c r="T777" s="6"/>
    </row>
    <row r="778" spans="1:20">
      <c r="A778" s="30"/>
      <c r="H778" s="30"/>
      <c r="K778" s="31" t="str">
        <f t="shared" si="12"/>
        <v/>
      </c>
      <c r="S778" s="2"/>
      <c r="T778" s="6"/>
    </row>
    <row r="779" spans="1:20">
      <c r="A779" s="30"/>
      <c r="H779" s="30"/>
      <c r="K779" s="31" t="str">
        <f t="shared" si="12"/>
        <v/>
      </c>
      <c r="S779" s="2"/>
      <c r="T779" s="6"/>
    </row>
    <row r="780" spans="1:20">
      <c r="A780" s="30"/>
      <c r="H780" s="30"/>
      <c r="K780" s="31" t="str">
        <f t="shared" si="12"/>
        <v/>
      </c>
      <c r="S780" s="2"/>
      <c r="T780" s="6"/>
    </row>
    <row r="781" spans="1:20">
      <c r="A781" s="30"/>
      <c r="H781" s="30"/>
      <c r="K781" s="31" t="str">
        <f t="shared" si="12"/>
        <v/>
      </c>
      <c r="S781" s="2"/>
      <c r="T781" s="6"/>
    </row>
    <row r="782" spans="1:20">
      <c r="A782" s="30"/>
      <c r="H782" s="30"/>
      <c r="K782" s="31" t="str">
        <f t="shared" si="12"/>
        <v/>
      </c>
      <c r="S782" s="2"/>
      <c r="T782" s="6"/>
    </row>
    <row r="783" spans="1:20">
      <c r="A783" s="30"/>
      <c r="H783" s="30"/>
      <c r="K783" s="31" t="str">
        <f t="shared" si="12"/>
        <v/>
      </c>
      <c r="S783" s="2"/>
      <c r="T783" s="6"/>
    </row>
    <row r="784" spans="1:20">
      <c r="A784" s="30"/>
      <c r="H784" s="30"/>
      <c r="K784" s="31" t="str">
        <f t="shared" si="12"/>
        <v/>
      </c>
      <c r="S784" s="2"/>
      <c r="T784" s="6"/>
    </row>
    <row r="785" spans="1:20">
      <c r="A785" s="30"/>
      <c r="H785" s="30"/>
      <c r="K785" s="31" t="str">
        <f t="shared" si="12"/>
        <v/>
      </c>
      <c r="S785" s="2"/>
      <c r="T785" s="6"/>
    </row>
    <row r="786" spans="1:20">
      <c r="A786" s="30"/>
      <c r="H786" s="30"/>
      <c r="K786" s="31" t="str">
        <f t="shared" si="12"/>
        <v/>
      </c>
      <c r="S786" s="2"/>
      <c r="T786" s="6"/>
    </row>
    <row r="787" spans="1:20">
      <c r="A787" s="30"/>
      <c r="H787" s="30"/>
      <c r="K787" s="31" t="str">
        <f t="shared" si="12"/>
        <v/>
      </c>
      <c r="S787" s="2"/>
      <c r="T787" s="6"/>
    </row>
    <row r="788" spans="1:20">
      <c r="A788" s="30"/>
      <c r="H788" s="30"/>
      <c r="K788" s="31" t="str">
        <f t="shared" si="12"/>
        <v/>
      </c>
      <c r="S788" s="2"/>
      <c r="T788" s="6"/>
    </row>
    <row r="789" spans="1:20">
      <c r="A789" s="30"/>
      <c r="H789" s="30"/>
      <c r="K789" s="31" t="str">
        <f t="shared" si="12"/>
        <v/>
      </c>
      <c r="S789" s="2"/>
      <c r="T789" s="6"/>
    </row>
    <row r="790" spans="1:20">
      <c r="A790" s="30"/>
      <c r="H790" s="30"/>
      <c r="K790" s="31" t="str">
        <f t="shared" si="12"/>
        <v/>
      </c>
      <c r="S790" s="2"/>
      <c r="T790" s="6"/>
    </row>
    <row r="791" spans="1:20">
      <c r="A791" s="30"/>
      <c r="H791" s="30"/>
      <c r="K791" s="31" t="str">
        <f t="shared" si="12"/>
        <v/>
      </c>
      <c r="S791" s="2"/>
      <c r="T791" s="6"/>
    </row>
    <row r="792" spans="1:20">
      <c r="A792" s="30"/>
      <c r="H792" s="30"/>
      <c r="K792" s="31" t="str">
        <f t="shared" si="12"/>
        <v/>
      </c>
      <c r="S792" s="2"/>
      <c r="T792" s="6"/>
    </row>
    <row r="793" spans="1:20">
      <c r="A793" s="30"/>
      <c r="H793" s="30"/>
      <c r="K793" s="31" t="str">
        <f t="shared" si="12"/>
        <v/>
      </c>
      <c r="S793" s="2"/>
      <c r="T793" s="6"/>
    </row>
    <row r="794" spans="1:20">
      <c r="A794" s="30"/>
      <c r="H794" s="30"/>
      <c r="K794" s="31" t="str">
        <f t="shared" si="12"/>
        <v/>
      </c>
      <c r="S794" s="2"/>
      <c r="T794" s="6"/>
    </row>
    <row r="795" spans="1:20">
      <c r="A795" s="30"/>
      <c r="H795" s="30"/>
      <c r="K795" s="31" t="str">
        <f t="shared" si="12"/>
        <v/>
      </c>
      <c r="S795" s="2"/>
      <c r="T795" s="6"/>
    </row>
    <row r="796" spans="1:20">
      <c r="A796" s="30"/>
      <c r="H796" s="30"/>
      <c r="K796" s="31" t="str">
        <f t="shared" si="12"/>
        <v/>
      </c>
      <c r="S796" s="2"/>
      <c r="T796" s="6"/>
    </row>
    <row r="797" spans="1:20">
      <c r="A797" s="30"/>
      <c r="H797" s="30"/>
      <c r="K797" s="31" t="str">
        <f t="shared" si="12"/>
        <v/>
      </c>
      <c r="S797" s="2"/>
      <c r="T797" s="6"/>
    </row>
    <row r="798" spans="1:20">
      <c r="A798" s="30"/>
      <c r="H798" s="30"/>
      <c r="K798" s="31" t="str">
        <f t="shared" si="12"/>
        <v/>
      </c>
      <c r="S798" s="2"/>
      <c r="T798" s="6"/>
    </row>
    <row r="799" spans="1:20">
      <c r="A799" s="30"/>
      <c r="H799" s="30"/>
      <c r="K799" s="31" t="str">
        <f t="shared" si="12"/>
        <v/>
      </c>
      <c r="S799" s="2"/>
      <c r="T799" s="6"/>
    </row>
    <row r="800" spans="1:20">
      <c r="A800" s="30"/>
      <c r="H800" s="30"/>
      <c r="K800" s="31" t="str">
        <f t="shared" si="12"/>
        <v/>
      </c>
      <c r="S800" s="2"/>
      <c r="T800" s="6"/>
    </row>
    <row r="801" spans="1:20">
      <c r="A801" s="30"/>
      <c r="H801" s="30"/>
      <c r="K801" s="31" t="str">
        <f t="shared" si="12"/>
        <v/>
      </c>
      <c r="S801" s="2"/>
      <c r="T801" s="6"/>
    </row>
    <row r="802" spans="1:20">
      <c r="A802" s="30"/>
      <c r="H802" s="30"/>
      <c r="K802" s="31" t="str">
        <f t="shared" si="12"/>
        <v/>
      </c>
      <c r="S802" s="2"/>
      <c r="T802" s="6"/>
    </row>
    <row r="803" spans="1:20">
      <c r="A803" s="30"/>
      <c r="H803" s="30"/>
      <c r="K803" s="31" t="str">
        <f t="shared" si="12"/>
        <v/>
      </c>
      <c r="S803" s="2"/>
      <c r="T803" s="6"/>
    </row>
    <row r="804" spans="1:20">
      <c r="A804" s="30"/>
      <c r="H804" s="30"/>
      <c r="K804" s="31" t="str">
        <f t="shared" si="12"/>
        <v/>
      </c>
      <c r="S804" s="2"/>
      <c r="T804" s="6"/>
    </row>
    <row r="805" spans="1:20">
      <c r="A805" s="30"/>
      <c r="H805" s="30"/>
      <c r="K805" s="31" t="str">
        <f t="shared" si="12"/>
        <v/>
      </c>
      <c r="S805" s="2"/>
      <c r="T805" s="6"/>
    </row>
    <row r="806" spans="1:20">
      <c r="A806" s="30"/>
      <c r="H806" s="30"/>
      <c r="K806" s="31" t="str">
        <f t="shared" si="12"/>
        <v/>
      </c>
      <c r="S806" s="2"/>
      <c r="T806" s="6"/>
    </row>
    <row r="807" spans="1:20">
      <c r="A807" s="30"/>
      <c r="H807" s="30"/>
      <c r="K807" s="31" t="str">
        <f t="shared" si="12"/>
        <v/>
      </c>
      <c r="S807" s="2"/>
      <c r="T807" s="6"/>
    </row>
    <row r="808" spans="1:20">
      <c r="A808" s="30"/>
      <c r="H808" s="30"/>
      <c r="K808" s="31" t="str">
        <f t="shared" si="12"/>
        <v/>
      </c>
      <c r="S808" s="2"/>
      <c r="T808" s="6"/>
    </row>
    <row r="809" spans="1:20">
      <c r="A809" s="30"/>
      <c r="H809" s="30"/>
      <c r="K809" s="31" t="str">
        <f t="shared" si="12"/>
        <v/>
      </c>
      <c r="S809" s="2"/>
      <c r="T809" s="6"/>
    </row>
    <row r="810" spans="1:20">
      <c r="A810" s="30"/>
      <c r="H810" s="30"/>
      <c r="K810" s="31" t="str">
        <f t="shared" si="12"/>
        <v/>
      </c>
      <c r="S810" s="2"/>
      <c r="T810" s="6"/>
    </row>
    <row r="811" spans="1:20">
      <c r="A811" s="30"/>
      <c r="H811" s="30"/>
      <c r="K811" s="31" t="str">
        <f t="shared" si="12"/>
        <v/>
      </c>
      <c r="S811" s="2"/>
      <c r="T811" s="6"/>
    </row>
    <row r="812" spans="1:20">
      <c r="A812" s="30"/>
      <c r="H812" s="30"/>
      <c r="K812" s="31" t="str">
        <f t="shared" si="12"/>
        <v/>
      </c>
      <c r="S812" s="2"/>
      <c r="T812" s="6"/>
    </row>
    <row r="813" spans="1:20">
      <c r="A813" s="30"/>
      <c r="H813" s="30"/>
      <c r="K813" s="31" t="str">
        <f t="shared" si="12"/>
        <v/>
      </c>
      <c r="S813" s="2"/>
      <c r="T813" s="6"/>
    </row>
    <row r="814" spans="1:20">
      <c r="A814" s="30"/>
      <c r="H814" s="30"/>
      <c r="K814" s="31" t="str">
        <f t="shared" si="12"/>
        <v/>
      </c>
      <c r="S814" s="2"/>
      <c r="T814" s="6"/>
    </row>
    <row r="815" spans="1:20">
      <c r="A815" s="30"/>
      <c r="H815" s="30"/>
      <c r="K815" s="31" t="str">
        <f t="shared" si="12"/>
        <v/>
      </c>
      <c r="S815" s="2"/>
      <c r="T815" s="6"/>
    </row>
    <row r="816" spans="1:20">
      <c r="A816" s="30"/>
      <c r="H816" s="30"/>
      <c r="K816" s="31" t="str">
        <f t="shared" si="12"/>
        <v/>
      </c>
      <c r="S816" s="2"/>
      <c r="T816" s="6"/>
    </row>
    <row r="817" spans="1:20">
      <c r="A817" s="30"/>
      <c r="H817" s="30"/>
      <c r="K817" s="31" t="str">
        <f t="shared" si="12"/>
        <v/>
      </c>
      <c r="S817" s="2"/>
      <c r="T817" s="6"/>
    </row>
    <row r="818" spans="1:20">
      <c r="A818" s="30"/>
      <c r="H818" s="30"/>
      <c r="K818" s="31" t="str">
        <f t="shared" si="12"/>
        <v/>
      </c>
      <c r="S818" s="2"/>
      <c r="T818" s="6"/>
    </row>
    <row r="819" spans="1:20">
      <c r="A819" s="30"/>
      <c r="H819" s="30"/>
      <c r="K819" s="31" t="str">
        <f t="shared" si="12"/>
        <v/>
      </c>
      <c r="S819" s="2"/>
      <c r="T819" s="6"/>
    </row>
    <row r="820" spans="1:20">
      <c r="A820" s="30"/>
      <c r="H820" s="30"/>
      <c r="K820" s="31" t="str">
        <f t="shared" si="12"/>
        <v/>
      </c>
      <c r="S820" s="2"/>
      <c r="T820" s="6"/>
    </row>
    <row r="821" spans="1:20">
      <c r="A821" s="30"/>
      <c r="H821" s="30"/>
      <c r="K821" s="31" t="str">
        <f t="shared" si="12"/>
        <v/>
      </c>
      <c r="S821" s="2"/>
      <c r="T821" s="6"/>
    </row>
    <row r="822" spans="1:20">
      <c r="A822" s="30"/>
      <c r="H822" s="30"/>
      <c r="K822" s="31" t="str">
        <f t="shared" si="12"/>
        <v/>
      </c>
      <c r="S822" s="2"/>
      <c r="T822" s="6"/>
    </row>
    <row r="823" spans="1:20">
      <c r="A823" s="30"/>
      <c r="H823" s="30"/>
      <c r="K823" s="31" t="str">
        <f t="shared" si="12"/>
        <v/>
      </c>
      <c r="S823" s="2"/>
      <c r="T823" s="6"/>
    </row>
    <row r="824" spans="1:20">
      <c r="A824" s="30"/>
      <c r="H824" s="30"/>
      <c r="K824" s="31" t="str">
        <f t="shared" si="12"/>
        <v/>
      </c>
      <c r="S824" s="2"/>
      <c r="T824" s="6"/>
    </row>
    <row r="825" spans="1:20">
      <c r="A825" s="30"/>
      <c r="H825" s="30"/>
      <c r="K825" s="31" t="str">
        <f t="shared" si="12"/>
        <v/>
      </c>
      <c r="S825" s="2"/>
      <c r="T825" s="6"/>
    </row>
    <row r="826" spans="1:20">
      <c r="A826" s="30"/>
      <c r="H826" s="30"/>
      <c r="K826" s="31" t="str">
        <f t="shared" si="12"/>
        <v/>
      </c>
      <c r="S826" s="2"/>
      <c r="T826" s="6"/>
    </row>
    <row r="827" spans="1:20">
      <c r="A827" s="30"/>
      <c r="H827" s="30"/>
      <c r="K827" s="31" t="str">
        <f t="shared" si="12"/>
        <v/>
      </c>
      <c r="S827" s="2"/>
      <c r="T827" s="6"/>
    </row>
    <row r="828" spans="1:20">
      <c r="A828" s="30"/>
      <c r="H828" s="30"/>
      <c r="K828" s="31" t="str">
        <f t="shared" si="12"/>
        <v/>
      </c>
      <c r="S828" s="2"/>
      <c r="T828" s="6"/>
    </row>
    <row r="829" spans="1:20">
      <c r="A829" s="30"/>
      <c r="H829" s="30"/>
      <c r="K829" s="31" t="str">
        <f t="shared" si="12"/>
        <v/>
      </c>
      <c r="S829" s="2"/>
      <c r="T829" s="6"/>
    </row>
    <row r="830" spans="1:20">
      <c r="A830" s="30"/>
      <c r="H830" s="30"/>
      <c r="K830" s="31" t="str">
        <f t="shared" si="12"/>
        <v/>
      </c>
      <c r="S830" s="2"/>
      <c r="T830" s="6"/>
    </row>
    <row r="831" spans="1:20">
      <c r="A831" s="30"/>
      <c r="H831" s="30"/>
      <c r="K831" s="31" t="str">
        <f t="shared" si="12"/>
        <v/>
      </c>
      <c r="S831" s="2"/>
      <c r="T831" s="6"/>
    </row>
    <row r="832" spans="1:20">
      <c r="A832" s="30"/>
      <c r="H832" s="30"/>
      <c r="K832" s="31" t="str">
        <f t="shared" si="12"/>
        <v/>
      </c>
      <c r="S832" s="2"/>
      <c r="T832" s="6"/>
    </row>
    <row r="833" spans="1:20">
      <c r="A833" s="30"/>
      <c r="H833" s="30"/>
      <c r="K833" s="31" t="str">
        <f t="shared" si="12"/>
        <v/>
      </c>
      <c r="S833" s="2"/>
      <c r="T833" s="6"/>
    </row>
    <row r="834" spans="1:20">
      <c r="A834" s="30"/>
      <c r="H834" s="30"/>
      <c r="K834" s="31" t="str">
        <f t="shared" ref="K834:K897" si="13">IF(OR(A834="",B834=""),"",A834-WEEKDAY(A834,2)+1)</f>
        <v/>
      </c>
      <c r="S834" s="2"/>
      <c r="T834" s="6"/>
    </row>
    <row r="835" spans="1:20">
      <c r="A835" s="30"/>
      <c r="H835" s="30"/>
      <c r="K835" s="31" t="str">
        <f t="shared" si="13"/>
        <v/>
      </c>
      <c r="S835" s="2"/>
      <c r="T835" s="6"/>
    </row>
    <row r="836" spans="1:20">
      <c r="A836" s="30"/>
      <c r="H836" s="30"/>
      <c r="K836" s="31" t="str">
        <f t="shared" si="13"/>
        <v/>
      </c>
      <c r="S836" s="2"/>
      <c r="T836" s="6"/>
    </row>
    <row r="837" spans="1:20">
      <c r="A837" s="30"/>
      <c r="H837" s="30"/>
      <c r="K837" s="31" t="str">
        <f t="shared" si="13"/>
        <v/>
      </c>
      <c r="S837" s="2"/>
      <c r="T837" s="6"/>
    </row>
    <row r="838" spans="1:20">
      <c r="A838" s="30"/>
      <c r="H838" s="30"/>
      <c r="K838" s="31" t="str">
        <f t="shared" si="13"/>
        <v/>
      </c>
      <c r="S838" s="2"/>
      <c r="T838" s="6"/>
    </row>
    <row r="839" spans="1:20">
      <c r="A839" s="30"/>
      <c r="H839" s="30"/>
      <c r="K839" s="31" t="str">
        <f t="shared" si="13"/>
        <v/>
      </c>
      <c r="S839" s="2"/>
      <c r="T839" s="6"/>
    </row>
    <row r="840" spans="1:20">
      <c r="A840" s="30"/>
      <c r="H840" s="30"/>
      <c r="K840" s="31" t="str">
        <f t="shared" si="13"/>
        <v/>
      </c>
      <c r="S840" s="2"/>
      <c r="T840" s="6"/>
    </row>
    <row r="841" spans="1:20">
      <c r="A841" s="30"/>
      <c r="H841" s="30"/>
      <c r="K841" s="31" t="str">
        <f t="shared" si="13"/>
        <v/>
      </c>
      <c r="S841" s="2"/>
      <c r="T841" s="6"/>
    </row>
    <row r="842" spans="1:20">
      <c r="A842" s="30"/>
      <c r="H842" s="30"/>
      <c r="K842" s="31" t="str">
        <f t="shared" si="13"/>
        <v/>
      </c>
      <c r="S842" s="2"/>
      <c r="T842" s="6"/>
    </row>
    <row r="843" spans="1:20">
      <c r="A843" s="30"/>
      <c r="H843" s="30"/>
      <c r="K843" s="31" t="str">
        <f t="shared" si="13"/>
        <v/>
      </c>
      <c r="S843" s="2"/>
      <c r="T843" s="6"/>
    </row>
    <row r="844" spans="1:20">
      <c r="A844" s="30"/>
      <c r="H844" s="30"/>
      <c r="K844" s="31" t="str">
        <f t="shared" si="13"/>
        <v/>
      </c>
      <c r="S844" s="2"/>
      <c r="T844" s="6"/>
    </row>
    <row r="845" spans="1:20">
      <c r="A845" s="30"/>
      <c r="H845" s="30"/>
      <c r="K845" s="31" t="str">
        <f t="shared" si="13"/>
        <v/>
      </c>
      <c r="S845" s="2"/>
      <c r="T845" s="6"/>
    </row>
    <row r="846" spans="1:20">
      <c r="A846" s="30"/>
      <c r="H846" s="30"/>
      <c r="K846" s="31" t="str">
        <f t="shared" si="13"/>
        <v/>
      </c>
      <c r="S846" s="2"/>
      <c r="T846" s="6"/>
    </row>
    <row r="847" spans="1:20">
      <c r="A847" s="30"/>
      <c r="H847" s="30"/>
      <c r="K847" s="31" t="str">
        <f t="shared" si="13"/>
        <v/>
      </c>
      <c r="S847" s="2"/>
      <c r="T847" s="6"/>
    </row>
    <row r="848" spans="1:20">
      <c r="A848" s="30"/>
      <c r="H848" s="30"/>
      <c r="K848" s="31" t="str">
        <f t="shared" si="13"/>
        <v/>
      </c>
      <c r="S848" s="2"/>
      <c r="T848" s="6"/>
    </row>
    <row r="849" spans="1:20">
      <c r="A849" s="30"/>
      <c r="H849" s="30"/>
      <c r="K849" s="31" t="str">
        <f t="shared" si="13"/>
        <v/>
      </c>
      <c r="S849" s="2"/>
      <c r="T849" s="6"/>
    </row>
    <row r="850" spans="1:20">
      <c r="A850" s="30"/>
      <c r="H850" s="30"/>
      <c r="K850" s="31" t="str">
        <f t="shared" si="13"/>
        <v/>
      </c>
      <c r="S850" s="2"/>
      <c r="T850" s="6"/>
    </row>
    <row r="851" spans="1:20">
      <c r="A851" s="30"/>
      <c r="H851" s="30"/>
      <c r="K851" s="31" t="str">
        <f t="shared" si="13"/>
        <v/>
      </c>
      <c r="S851" s="2"/>
      <c r="T851" s="6"/>
    </row>
    <row r="852" spans="1:20">
      <c r="A852" s="30"/>
      <c r="H852" s="30"/>
      <c r="K852" s="31" t="str">
        <f t="shared" si="13"/>
        <v/>
      </c>
      <c r="S852" s="2"/>
      <c r="T852" s="6"/>
    </row>
    <row r="853" spans="1:20">
      <c r="A853" s="30"/>
      <c r="H853" s="30"/>
      <c r="K853" s="31" t="str">
        <f t="shared" si="13"/>
        <v/>
      </c>
      <c r="S853" s="2"/>
      <c r="T853" s="6"/>
    </row>
    <row r="854" spans="1:20">
      <c r="A854" s="30"/>
      <c r="H854" s="30"/>
      <c r="K854" s="31" t="str">
        <f t="shared" si="13"/>
        <v/>
      </c>
      <c r="S854" s="2"/>
      <c r="T854" s="6"/>
    </row>
    <row r="855" spans="1:20">
      <c r="A855" s="30"/>
      <c r="H855" s="30"/>
      <c r="K855" s="31" t="str">
        <f t="shared" si="13"/>
        <v/>
      </c>
      <c r="S855" s="2"/>
      <c r="T855" s="6"/>
    </row>
    <row r="856" spans="1:20">
      <c r="A856" s="30"/>
      <c r="H856" s="30"/>
      <c r="K856" s="31" t="str">
        <f t="shared" si="13"/>
        <v/>
      </c>
      <c r="S856" s="2"/>
      <c r="T856" s="6"/>
    </row>
    <row r="857" spans="1:20">
      <c r="A857" s="30"/>
      <c r="H857" s="30"/>
      <c r="K857" s="31" t="str">
        <f t="shared" si="13"/>
        <v/>
      </c>
      <c r="S857" s="2"/>
      <c r="T857" s="6"/>
    </row>
    <row r="858" spans="1:20">
      <c r="A858" s="30"/>
      <c r="H858" s="30"/>
      <c r="K858" s="31" t="str">
        <f t="shared" si="13"/>
        <v/>
      </c>
      <c r="S858" s="2"/>
      <c r="T858" s="6"/>
    </row>
    <row r="859" spans="1:20">
      <c r="A859" s="30"/>
      <c r="H859" s="30"/>
      <c r="K859" s="31" t="str">
        <f t="shared" si="13"/>
        <v/>
      </c>
      <c r="S859" s="2"/>
      <c r="T859" s="6"/>
    </row>
    <row r="860" spans="1:20">
      <c r="A860" s="30"/>
      <c r="H860" s="30"/>
      <c r="K860" s="31" t="str">
        <f t="shared" si="13"/>
        <v/>
      </c>
      <c r="S860" s="2"/>
      <c r="T860" s="6"/>
    </row>
    <row r="861" spans="1:20">
      <c r="A861" s="30"/>
      <c r="H861" s="30"/>
      <c r="K861" s="31" t="str">
        <f t="shared" si="13"/>
        <v/>
      </c>
      <c r="S861" s="2"/>
      <c r="T861" s="6"/>
    </row>
    <row r="862" spans="1:20">
      <c r="A862" s="30"/>
      <c r="H862" s="30"/>
      <c r="K862" s="31" t="str">
        <f t="shared" si="13"/>
        <v/>
      </c>
      <c r="S862" s="2"/>
      <c r="T862" s="6"/>
    </row>
    <row r="863" spans="1:20">
      <c r="A863" s="30"/>
      <c r="H863" s="30"/>
      <c r="K863" s="31" t="str">
        <f t="shared" si="13"/>
        <v/>
      </c>
      <c r="S863" s="2"/>
      <c r="T863" s="6"/>
    </row>
    <row r="864" spans="1:20">
      <c r="A864" s="30"/>
      <c r="H864" s="30"/>
      <c r="K864" s="31" t="str">
        <f t="shared" si="13"/>
        <v/>
      </c>
      <c r="S864" s="2"/>
      <c r="T864" s="6"/>
    </row>
    <row r="865" spans="1:20">
      <c r="A865" s="30"/>
      <c r="H865" s="30"/>
      <c r="K865" s="31" t="str">
        <f t="shared" si="13"/>
        <v/>
      </c>
      <c r="S865" s="2"/>
      <c r="T865" s="6"/>
    </row>
    <row r="866" spans="1:20">
      <c r="A866" s="30"/>
      <c r="H866" s="30"/>
      <c r="K866" s="31" t="str">
        <f t="shared" si="13"/>
        <v/>
      </c>
      <c r="S866" s="2"/>
      <c r="T866" s="6"/>
    </row>
    <row r="867" spans="1:20">
      <c r="A867" s="30"/>
      <c r="H867" s="30"/>
      <c r="K867" s="31" t="str">
        <f t="shared" si="13"/>
        <v/>
      </c>
      <c r="S867" s="2"/>
      <c r="T867" s="6"/>
    </row>
    <row r="868" spans="1:20">
      <c r="A868" s="30"/>
      <c r="H868" s="30"/>
      <c r="K868" s="31" t="str">
        <f t="shared" si="13"/>
        <v/>
      </c>
      <c r="S868" s="2"/>
      <c r="T868" s="6"/>
    </row>
    <row r="869" spans="1:20">
      <c r="A869" s="30"/>
      <c r="H869" s="30"/>
      <c r="K869" s="31" t="str">
        <f t="shared" si="13"/>
        <v/>
      </c>
      <c r="S869" s="2"/>
      <c r="T869" s="6"/>
    </row>
    <row r="870" spans="1:20">
      <c r="A870" s="30"/>
      <c r="H870" s="30"/>
      <c r="K870" s="31" t="str">
        <f t="shared" si="13"/>
        <v/>
      </c>
      <c r="S870" s="2"/>
      <c r="T870" s="6"/>
    </row>
    <row r="871" spans="1:20">
      <c r="A871" s="30"/>
      <c r="H871" s="30"/>
      <c r="K871" s="31" t="str">
        <f t="shared" si="13"/>
        <v/>
      </c>
      <c r="S871" s="2"/>
      <c r="T871" s="6"/>
    </row>
    <row r="872" spans="1:20">
      <c r="A872" s="30"/>
      <c r="H872" s="30"/>
      <c r="K872" s="31" t="str">
        <f t="shared" si="13"/>
        <v/>
      </c>
      <c r="S872" s="2"/>
      <c r="T872" s="6"/>
    </row>
    <row r="873" spans="1:20">
      <c r="A873" s="30"/>
      <c r="H873" s="30"/>
      <c r="K873" s="31" t="str">
        <f t="shared" si="13"/>
        <v/>
      </c>
      <c r="S873" s="2"/>
      <c r="T873" s="6"/>
    </row>
    <row r="874" spans="1:20">
      <c r="A874" s="30"/>
      <c r="H874" s="30"/>
      <c r="K874" s="31" t="str">
        <f t="shared" si="13"/>
        <v/>
      </c>
      <c r="S874" s="2"/>
      <c r="T874" s="6"/>
    </row>
    <row r="875" spans="1:20">
      <c r="A875" s="30"/>
      <c r="H875" s="30"/>
      <c r="K875" s="31" t="str">
        <f t="shared" si="13"/>
        <v/>
      </c>
      <c r="S875" s="2"/>
      <c r="T875" s="6"/>
    </row>
    <row r="876" spans="1:20">
      <c r="A876" s="30"/>
      <c r="H876" s="30"/>
      <c r="K876" s="31" t="str">
        <f t="shared" si="13"/>
        <v/>
      </c>
      <c r="S876" s="2"/>
      <c r="T876" s="6"/>
    </row>
    <row r="877" spans="1:20">
      <c r="A877" s="30"/>
      <c r="H877" s="30"/>
      <c r="K877" s="31" t="str">
        <f t="shared" si="13"/>
        <v/>
      </c>
      <c r="S877" s="2"/>
      <c r="T877" s="6"/>
    </row>
    <row r="878" spans="1:20">
      <c r="A878" s="30"/>
      <c r="H878" s="30"/>
      <c r="K878" s="31" t="str">
        <f t="shared" si="13"/>
        <v/>
      </c>
      <c r="S878" s="2"/>
      <c r="T878" s="6"/>
    </row>
    <row r="879" spans="1:20">
      <c r="A879" s="30"/>
      <c r="H879" s="30"/>
      <c r="K879" s="31" t="str">
        <f t="shared" si="13"/>
        <v/>
      </c>
      <c r="S879" s="2"/>
      <c r="T879" s="6"/>
    </row>
    <row r="880" spans="1:20">
      <c r="A880" s="30"/>
      <c r="H880" s="30"/>
      <c r="K880" s="31" t="str">
        <f t="shared" si="13"/>
        <v/>
      </c>
      <c r="S880" s="2"/>
      <c r="T880" s="6"/>
    </row>
    <row r="881" spans="1:20">
      <c r="A881" s="30"/>
      <c r="H881" s="30"/>
      <c r="K881" s="31" t="str">
        <f t="shared" si="13"/>
        <v/>
      </c>
      <c r="S881" s="2"/>
      <c r="T881" s="6"/>
    </row>
    <row r="882" spans="1:20">
      <c r="A882" s="30"/>
      <c r="H882" s="30"/>
      <c r="K882" s="31" t="str">
        <f t="shared" si="13"/>
        <v/>
      </c>
      <c r="S882" s="2"/>
      <c r="T882" s="6"/>
    </row>
    <row r="883" spans="1:20">
      <c r="A883" s="30"/>
      <c r="H883" s="30"/>
      <c r="K883" s="31" t="str">
        <f t="shared" si="13"/>
        <v/>
      </c>
      <c r="S883" s="2"/>
      <c r="T883" s="6"/>
    </row>
    <row r="884" spans="1:20">
      <c r="A884" s="30"/>
      <c r="H884" s="30"/>
      <c r="K884" s="31" t="str">
        <f t="shared" si="13"/>
        <v/>
      </c>
      <c r="S884" s="2"/>
      <c r="T884" s="6"/>
    </row>
    <row r="885" spans="1:20">
      <c r="A885" s="30"/>
      <c r="H885" s="30"/>
      <c r="K885" s="31" t="str">
        <f t="shared" si="13"/>
        <v/>
      </c>
      <c r="S885" s="2"/>
      <c r="T885" s="6"/>
    </row>
    <row r="886" spans="1:20">
      <c r="A886" s="30"/>
      <c r="H886" s="30"/>
      <c r="K886" s="31" t="str">
        <f t="shared" si="13"/>
        <v/>
      </c>
      <c r="S886" s="2"/>
      <c r="T886" s="6"/>
    </row>
    <row r="887" spans="1:20">
      <c r="A887" s="30"/>
      <c r="H887" s="30"/>
      <c r="K887" s="31" t="str">
        <f t="shared" si="13"/>
        <v/>
      </c>
      <c r="S887" s="2"/>
      <c r="T887" s="6"/>
    </row>
    <row r="888" spans="1:20">
      <c r="A888" s="30"/>
      <c r="H888" s="30"/>
      <c r="K888" s="31" t="str">
        <f t="shared" si="13"/>
        <v/>
      </c>
      <c r="S888" s="2"/>
      <c r="T888" s="6"/>
    </row>
    <row r="889" spans="1:20">
      <c r="A889" s="30"/>
      <c r="H889" s="30"/>
      <c r="K889" s="31" t="str">
        <f t="shared" si="13"/>
        <v/>
      </c>
      <c r="S889" s="2"/>
      <c r="T889" s="6"/>
    </row>
    <row r="890" spans="1:20">
      <c r="A890" s="30"/>
      <c r="H890" s="30"/>
      <c r="K890" s="31" t="str">
        <f t="shared" si="13"/>
        <v/>
      </c>
      <c r="S890" s="2"/>
      <c r="T890" s="6"/>
    </row>
    <row r="891" spans="1:20">
      <c r="A891" s="30"/>
      <c r="H891" s="30"/>
      <c r="K891" s="31" t="str">
        <f t="shared" si="13"/>
        <v/>
      </c>
      <c r="S891" s="2"/>
      <c r="T891" s="6"/>
    </row>
    <row r="892" spans="1:20">
      <c r="A892" s="30"/>
      <c r="H892" s="30"/>
      <c r="K892" s="31" t="str">
        <f t="shared" si="13"/>
        <v/>
      </c>
      <c r="S892" s="2"/>
      <c r="T892" s="6"/>
    </row>
    <row r="893" spans="1:20">
      <c r="A893" s="30"/>
      <c r="H893" s="30"/>
      <c r="K893" s="31" t="str">
        <f t="shared" si="13"/>
        <v/>
      </c>
      <c r="S893" s="2"/>
      <c r="T893" s="6"/>
    </row>
    <row r="894" spans="1:20">
      <c r="A894" s="30"/>
      <c r="H894" s="30"/>
      <c r="K894" s="31" t="str">
        <f t="shared" si="13"/>
        <v/>
      </c>
      <c r="S894" s="2"/>
      <c r="T894" s="6"/>
    </row>
    <row r="895" spans="1:20">
      <c r="A895" s="30"/>
      <c r="H895" s="30"/>
      <c r="K895" s="31" t="str">
        <f t="shared" si="13"/>
        <v/>
      </c>
      <c r="S895" s="2"/>
      <c r="T895" s="6"/>
    </row>
    <row r="896" spans="1:20">
      <c r="A896" s="30"/>
      <c r="H896" s="30"/>
      <c r="K896" s="31" t="str">
        <f t="shared" si="13"/>
        <v/>
      </c>
      <c r="S896" s="2"/>
      <c r="T896" s="6"/>
    </row>
    <row r="897" spans="1:20">
      <c r="A897" s="30"/>
      <c r="H897" s="30"/>
      <c r="K897" s="31" t="str">
        <f t="shared" si="13"/>
        <v/>
      </c>
      <c r="S897" s="2"/>
      <c r="T897" s="6"/>
    </row>
    <row r="898" spans="1:20">
      <c r="A898" s="30"/>
      <c r="H898" s="30"/>
      <c r="K898" s="31" t="str">
        <f t="shared" ref="K898:K961" si="14">IF(OR(A898="",B898=""),"",A898-WEEKDAY(A898,2)+1)</f>
        <v/>
      </c>
      <c r="S898" s="2"/>
      <c r="T898" s="6"/>
    </row>
    <row r="899" spans="1:20">
      <c r="A899" s="30"/>
      <c r="H899" s="30"/>
      <c r="K899" s="31" t="str">
        <f t="shared" si="14"/>
        <v/>
      </c>
      <c r="S899" s="2"/>
      <c r="T899" s="6"/>
    </row>
    <row r="900" spans="1:20">
      <c r="A900" s="30"/>
      <c r="H900" s="30"/>
      <c r="K900" s="31" t="str">
        <f t="shared" si="14"/>
        <v/>
      </c>
      <c r="S900" s="2"/>
      <c r="T900" s="6"/>
    </row>
    <row r="901" spans="1:20">
      <c r="A901" s="30"/>
      <c r="H901" s="30"/>
      <c r="K901" s="31" t="str">
        <f t="shared" si="14"/>
        <v/>
      </c>
      <c r="S901" s="2"/>
      <c r="T901" s="6"/>
    </row>
    <row r="902" spans="1:20">
      <c r="A902" s="30"/>
      <c r="H902" s="30"/>
      <c r="K902" s="31" t="str">
        <f t="shared" si="14"/>
        <v/>
      </c>
      <c r="S902" s="2"/>
      <c r="T902" s="6"/>
    </row>
    <row r="903" spans="1:20">
      <c r="A903" s="30"/>
      <c r="H903" s="30"/>
      <c r="K903" s="31" t="str">
        <f t="shared" si="14"/>
        <v/>
      </c>
      <c r="S903" s="2"/>
      <c r="T903" s="6"/>
    </row>
    <row r="904" spans="1:20">
      <c r="A904" s="30"/>
      <c r="H904" s="30"/>
      <c r="K904" s="31" t="str">
        <f t="shared" si="14"/>
        <v/>
      </c>
      <c r="S904" s="2"/>
      <c r="T904" s="6"/>
    </row>
    <row r="905" spans="1:20">
      <c r="A905" s="30"/>
      <c r="H905" s="30"/>
      <c r="K905" s="31" t="str">
        <f t="shared" si="14"/>
        <v/>
      </c>
      <c r="S905" s="2"/>
      <c r="T905" s="6"/>
    </row>
    <row r="906" spans="1:20">
      <c r="A906" s="30"/>
      <c r="H906" s="30"/>
      <c r="K906" s="31" t="str">
        <f t="shared" si="14"/>
        <v/>
      </c>
      <c r="S906" s="2"/>
      <c r="T906" s="6"/>
    </row>
    <row r="907" spans="1:20">
      <c r="A907" s="30"/>
      <c r="H907" s="30"/>
      <c r="K907" s="31" t="str">
        <f t="shared" si="14"/>
        <v/>
      </c>
      <c r="S907" s="2"/>
      <c r="T907" s="6"/>
    </row>
    <row r="908" spans="1:20">
      <c r="A908" s="30"/>
      <c r="H908" s="30"/>
      <c r="K908" s="31" t="str">
        <f t="shared" si="14"/>
        <v/>
      </c>
      <c r="S908" s="2"/>
      <c r="T908" s="6"/>
    </row>
    <row r="909" spans="1:20">
      <c r="A909" s="30"/>
      <c r="H909" s="30"/>
      <c r="K909" s="31" t="str">
        <f t="shared" si="14"/>
        <v/>
      </c>
      <c r="S909" s="2"/>
      <c r="T909" s="6"/>
    </row>
    <row r="910" spans="1:20">
      <c r="A910" s="30"/>
      <c r="H910" s="30"/>
      <c r="K910" s="31" t="str">
        <f t="shared" si="14"/>
        <v/>
      </c>
      <c r="S910" s="2"/>
      <c r="T910" s="6"/>
    </row>
    <row r="911" spans="1:20">
      <c r="A911" s="30"/>
      <c r="H911" s="30"/>
      <c r="K911" s="31" t="str">
        <f t="shared" si="14"/>
        <v/>
      </c>
      <c r="S911" s="2"/>
      <c r="T911" s="6"/>
    </row>
    <row r="912" spans="1:20">
      <c r="A912" s="30"/>
      <c r="H912" s="30"/>
      <c r="K912" s="31" t="str">
        <f t="shared" si="14"/>
        <v/>
      </c>
      <c r="S912" s="2"/>
      <c r="T912" s="6"/>
    </row>
    <row r="913" spans="1:20">
      <c r="A913" s="30"/>
      <c r="H913" s="30"/>
      <c r="K913" s="31" t="str">
        <f t="shared" si="14"/>
        <v/>
      </c>
      <c r="S913" s="2"/>
      <c r="T913" s="6"/>
    </row>
    <row r="914" spans="1:20">
      <c r="A914" s="30"/>
      <c r="H914" s="30"/>
      <c r="K914" s="31" t="str">
        <f t="shared" si="14"/>
        <v/>
      </c>
      <c r="S914" s="2"/>
      <c r="T914" s="6"/>
    </row>
    <row r="915" spans="1:20">
      <c r="A915" s="30"/>
      <c r="H915" s="30"/>
      <c r="K915" s="31" t="str">
        <f t="shared" si="14"/>
        <v/>
      </c>
      <c r="S915" s="2"/>
      <c r="T915" s="6"/>
    </row>
    <row r="916" spans="1:20">
      <c r="A916" s="30"/>
      <c r="H916" s="30"/>
      <c r="K916" s="31" t="str">
        <f t="shared" si="14"/>
        <v/>
      </c>
      <c r="S916" s="2"/>
      <c r="T916" s="6"/>
    </row>
    <row r="917" spans="1:20">
      <c r="A917" s="30"/>
      <c r="H917" s="30"/>
      <c r="K917" s="31" t="str">
        <f t="shared" si="14"/>
        <v/>
      </c>
      <c r="S917" s="2"/>
      <c r="T917" s="6"/>
    </row>
    <row r="918" spans="1:20">
      <c r="A918" s="30"/>
      <c r="H918" s="30"/>
      <c r="K918" s="31" t="str">
        <f t="shared" si="14"/>
        <v/>
      </c>
      <c r="S918" s="2"/>
      <c r="T918" s="6"/>
    </row>
    <row r="919" spans="1:20">
      <c r="A919" s="30"/>
      <c r="H919" s="30"/>
      <c r="K919" s="31" t="str">
        <f t="shared" si="14"/>
        <v/>
      </c>
      <c r="S919" s="2"/>
      <c r="T919" s="6"/>
    </row>
    <row r="920" spans="1:20">
      <c r="A920" s="30"/>
      <c r="H920" s="30"/>
      <c r="K920" s="31" t="str">
        <f t="shared" si="14"/>
        <v/>
      </c>
      <c r="S920" s="2"/>
      <c r="T920" s="6"/>
    </row>
    <row r="921" spans="1:20">
      <c r="A921" s="30"/>
      <c r="H921" s="30"/>
      <c r="K921" s="31" t="str">
        <f t="shared" si="14"/>
        <v/>
      </c>
      <c r="S921" s="2"/>
      <c r="T921" s="6"/>
    </row>
    <row r="922" spans="1:20">
      <c r="A922" s="30"/>
      <c r="H922" s="30"/>
      <c r="K922" s="31" t="str">
        <f t="shared" si="14"/>
        <v/>
      </c>
      <c r="S922" s="2"/>
      <c r="T922" s="6"/>
    </row>
    <row r="923" spans="1:20">
      <c r="A923" s="30"/>
      <c r="H923" s="30"/>
      <c r="K923" s="31" t="str">
        <f t="shared" si="14"/>
        <v/>
      </c>
      <c r="S923" s="2"/>
      <c r="T923" s="6"/>
    </row>
    <row r="924" spans="1:20">
      <c r="A924" s="30"/>
      <c r="H924" s="30"/>
      <c r="K924" s="31" t="str">
        <f t="shared" si="14"/>
        <v/>
      </c>
      <c r="S924" s="2"/>
      <c r="T924" s="6"/>
    </row>
    <row r="925" spans="1:20">
      <c r="A925" s="30"/>
      <c r="H925" s="30"/>
      <c r="K925" s="31" t="str">
        <f t="shared" si="14"/>
        <v/>
      </c>
      <c r="S925" s="2"/>
      <c r="T925" s="6"/>
    </row>
    <row r="926" spans="1:20">
      <c r="A926" s="30"/>
      <c r="H926" s="30"/>
      <c r="K926" s="31" t="str">
        <f t="shared" si="14"/>
        <v/>
      </c>
      <c r="S926" s="2"/>
      <c r="T926" s="6"/>
    </row>
    <row r="927" spans="1:20">
      <c r="A927" s="30"/>
      <c r="H927" s="30"/>
      <c r="K927" s="31" t="str">
        <f t="shared" si="14"/>
        <v/>
      </c>
      <c r="S927" s="2"/>
      <c r="T927" s="6"/>
    </row>
    <row r="928" spans="1:20">
      <c r="A928" s="30"/>
      <c r="H928" s="30"/>
      <c r="K928" s="31" t="str">
        <f t="shared" si="14"/>
        <v/>
      </c>
      <c r="S928" s="2"/>
      <c r="T928" s="6"/>
    </row>
    <row r="929" spans="1:20">
      <c r="A929" s="30"/>
      <c r="H929" s="30"/>
      <c r="K929" s="31" t="str">
        <f t="shared" si="14"/>
        <v/>
      </c>
      <c r="S929" s="2"/>
      <c r="T929" s="6"/>
    </row>
    <row r="930" spans="1:20">
      <c r="A930" s="30"/>
      <c r="H930" s="30"/>
      <c r="K930" s="31" t="str">
        <f t="shared" si="14"/>
        <v/>
      </c>
      <c r="S930" s="2"/>
      <c r="T930" s="6"/>
    </row>
    <row r="931" spans="1:20">
      <c r="A931" s="30"/>
      <c r="H931" s="30"/>
      <c r="K931" s="31" t="str">
        <f t="shared" si="14"/>
        <v/>
      </c>
      <c r="S931" s="2"/>
      <c r="T931" s="6"/>
    </row>
    <row r="932" spans="1:20">
      <c r="A932" s="30"/>
      <c r="H932" s="30"/>
      <c r="K932" s="31" t="str">
        <f t="shared" si="14"/>
        <v/>
      </c>
      <c r="S932" s="2"/>
      <c r="T932" s="6"/>
    </row>
    <row r="933" spans="1:20">
      <c r="A933" s="30"/>
      <c r="H933" s="30"/>
      <c r="K933" s="31" t="str">
        <f t="shared" si="14"/>
        <v/>
      </c>
      <c r="S933" s="2"/>
      <c r="T933" s="6"/>
    </row>
    <row r="934" spans="1:20">
      <c r="A934" s="30"/>
      <c r="H934" s="30"/>
      <c r="K934" s="31" t="str">
        <f t="shared" si="14"/>
        <v/>
      </c>
      <c r="S934" s="2"/>
      <c r="T934" s="6"/>
    </row>
    <row r="935" spans="1:20">
      <c r="A935" s="30"/>
      <c r="H935" s="30"/>
      <c r="K935" s="31" t="str">
        <f t="shared" si="14"/>
        <v/>
      </c>
      <c r="S935" s="2"/>
      <c r="T935" s="6"/>
    </row>
    <row r="936" spans="1:20">
      <c r="A936" s="30"/>
      <c r="H936" s="30"/>
      <c r="K936" s="31" t="str">
        <f t="shared" si="14"/>
        <v/>
      </c>
      <c r="S936" s="2"/>
      <c r="T936" s="6"/>
    </row>
    <row r="937" spans="1:20">
      <c r="A937" s="30"/>
      <c r="H937" s="30"/>
      <c r="K937" s="31" t="str">
        <f t="shared" si="14"/>
        <v/>
      </c>
      <c r="S937" s="2"/>
      <c r="T937" s="6"/>
    </row>
    <row r="938" spans="1:20">
      <c r="A938" s="30"/>
      <c r="H938" s="30"/>
      <c r="K938" s="31" t="str">
        <f t="shared" si="14"/>
        <v/>
      </c>
      <c r="S938" s="2"/>
      <c r="T938" s="6"/>
    </row>
    <row r="939" spans="1:20">
      <c r="A939" s="30"/>
      <c r="H939" s="30"/>
      <c r="K939" s="31" t="str">
        <f t="shared" si="14"/>
        <v/>
      </c>
      <c r="S939" s="2"/>
      <c r="T939" s="6"/>
    </row>
    <row r="940" spans="1:20">
      <c r="A940" s="30"/>
      <c r="H940" s="30"/>
      <c r="K940" s="31" t="str">
        <f t="shared" si="14"/>
        <v/>
      </c>
      <c r="S940" s="2"/>
      <c r="T940" s="6"/>
    </row>
    <row r="941" spans="1:20">
      <c r="A941" s="30"/>
      <c r="H941" s="30"/>
      <c r="K941" s="31" t="str">
        <f t="shared" si="14"/>
        <v/>
      </c>
      <c r="S941" s="2"/>
      <c r="T941" s="6"/>
    </row>
    <row r="942" spans="1:20">
      <c r="A942" s="30"/>
      <c r="H942" s="30"/>
      <c r="K942" s="31" t="str">
        <f t="shared" si="14"/>
        <v/>
      </c>
      <c r="S942" s="2"/>
      <c r="T942" s="6"/>
    </row>
    <row r="943" spans="1:20">
      <c r="A943" s="30"/>
      <c r="H943" s="30"/>
      <c r="K943" s="31" t="str">
        <f t="shared" si="14"/>
        <v/>
      </c>
      <c r="S943" s="2"/>
      <c r="T943" s="6"/>
    </row>
    <row r="944" spans="1:20">
      <c r="A944" s="30"/>
      <c r="H944" s="30"/>
      <c r="K944" s="31" t="str">
        <f t="shared" si="14"/>
        <v/>
      </c>
      <c r="S944" s="2"/>
      <c r="T944" s="6"/>
    </row>
    <row r="945" spans="1:20">
      <c r="A945" s="30"/>
      <c r="H945" s="30"/>
      <c r="K945" s="31" t="str">
        <f t="shared" si="14"/>
        <v/>
      </c>
      <c r="S945" s="2"/>
      <c r="T945" s="6"/>
    </row>
    <row r="946" spans="1:20">
      <c r="A946" s="30"/>
      <c r="H946" s="30"/>
      <c r="K946" s="31" t="str">
        <f t="shared" si="14"/>
        <v/>
      </c>
      <c r="S946" s="2"/>
      <c r="T946" s="6"/>
    </row>
    <row r="947" spans="1:20">
      <c r="A947" s="30"/>
      <c r="H947" s="30"/>
      <c r="K947" s="31" t="str">
        <f t="shared" si="14"/>
        <v/>
      </c>
      <c r="S947" s="2"/>
      <c r="T947" s="6"/>
    </row>
    <row r="948" spans="1:20">
      <c r="A948" s="30"/>
      <c r="H948" s="30"/>
      <c r="K948" s="31" t="str">
        <f t="shared" si="14"/>
        <v/>
      </c>
      <c r="S948" s="2"/>
      <c r="T948" s="6"/>
    </row>
    <row r="949" spans="1:20">
      <c r="A949" s="30"/>
      <c r="H949" s="30"/>
      <c r="K949" s="31" t="str">
        <f t="shared" si="14"/>
        <v/>
      </c>
      <c r="S949" s="2"/>
      <c r="T949" s="6"/>
    </row>
    <row r="950" spans="1:20">
      <c r="A950" s="30"/>
      <c r="H950" s="30"/>
      <c r="K950" s="31" t="str">
        <f t="shared" si="14"/>
        <v/>
      </c>
      <c r="S950" s="2"/>
      <c r="T950" s="6"/>
    </row>
    <row r="951" spans="1:20">
      <c r="A951" s="30"/>
      <c r="H951" s="30"/>
      <c r="K951" s="31" t="str">
        <f t="shared" si="14"/>
        <v/>
      </c>
      <c r="S951" s="2"/>
      <c r="T951" s="6"/>
    </row>
    <row r="952" spans="1:20">
      <c r="A952" s="30"/>
      <c r="H952" s="30"/>
      <c r="K952" s="31" t="str">
        <f t="shared" si="14"/>
        <v/>
      </c>
      <c r="S952" s="2"/>
      <c r="T952" s="6"/>
    </row>
    <row r="953" spans="1:20">
      <c r="A953" s="30"/>
      <c r="H953" s="30"/>
      <c r="K953" s="31" t="str">
        <f t="shared" si="14"/>
        <v/>
      </c>
      <c r="S953" s="2"/>
      <c r="T953" s="6"/>
    </row>
    <row r="954" spans="1:20">
      <c r="A954" s="30"/>
      <c r="H954" s="30"/>
      <c r="K954" s="31" t="str">
        <f t="shared" si="14"/>
        <v/>
      </c>
      <c r="S954" s="2"/>
      <c r="T954" s="6"/>
    </row>
    <row r="955" spans="1:20">
      <c r="A955" s="30"/>
      <c r="H955" s="30"/>
      <c r="K955" s="31" t="str">
        <f t="shared" si="14"/>
        <v/>
      </c>
      <c r="S955" s="2"/>
      <c r="T955" s="6"/>
    </row>
    <row r="956" spans="1:20">
      <c r="A956" s="30"/>
      <c r="H956" s="30"/>
      <c r="K956" s="31" t="str">
        <f t="shared" si="14"/>
        <v/>
      </c>
      <c r="S956" s="2"/>
      <c r="T956" s="6"/>
    </row>
    <row r="957" spans="1:20">
      <c r="A957" s="30"/>
      <c r="H957" s="30"/>
      <c r="K957" s="31" t="str">
        <f t="shared" si="14"/>
        <v/>
      </c>
      <c r="S957" s="2"/>
      <c r="T957" s="6"/>
    </row>
    <row r="958" spans="1:20">
      <c r="A958" s="30"/>
      <c r="H958" s="30"/>
      <c r="K958" s="31" t="str">
        <f t="shared" si="14"/>
        <v/>
      </c>
      <c r="S958" s="2"/>
      <c r="T958" s="6"/>
    </row>
    <row r="959" spans="1:20">
      <c r="A959" s="30"/>
      <c r="H959" s="30"/>
      <c r="K959" s="31" t="str">
        <f t="shared" si="14"/>
        <v/>
      </c>
      <c r="S959" s="2"/>
      <c r="T959" s="6"/>
    </row>
    <row r="960" spans="1:20">
      <c r="A960" s="30"/>
      <c r="H960" s="30"/>
      <c r="K960" s="31" t="str">
        <f t="shared" si="14"/>
        <v/>
      </c>
      <c r="S960" s="2"/>
      <c r="T960" s="6"/>
    </row>
    <row r="961" spans="1:20">
      <c r="A961" s="30"/>
      <c r="H961" s="30"/>
      <c r="K961" s="31" t="str">
        <f t="shared" si="14"/>
        <v/>
      </c>
      <c r="S961" s="2"/>
      <c r="T961" s="6"/>
    </row>
    <row r="962" spans="1:20">
      <c r="A962" s="30"/>
      <c r="H962" s="30"/>
      <c r="K962" s="31" t="str">
        <f t="shared" ref="K962:K1001" si="15">IF(OR(A962="",B962=""),"",A962-WEEKDAY(A962,2)+1)</f>
        <v/>
      </c>
      <c r="S962" s="2"/>
      <c r="T962" s="6"/>
    </row>
    <row r="963" spans="1:20">
      <c r="A963" s="30"/>
      <c r="H963" s="30"/>
      <c r="K963" s="31" t="str">
        <f t="shared" si="15"/>
        <v/>
      </c>
      <c r="S963" s="2"/>
      <c r="T963" s="6"/>
    </row>
    <row r="964" spans="1:20">
      <c r="A964" s="30"/>
      <c r="H964" s="30"/>
      <c r="K964" s="31" t="str">
        <f t="shared" si="15"/>
        <v/>
      </c>
      <c r="S964" s="2"/>
      <c r="T964" s="6"/>
    </row>
    <row r="965" spans="1:20">
      <c r="A965" s="30"/>
      <c r="H965" s="30"/>
      <c r="K965" s="31" t="str">
        <f t="shared" si="15"/>
        <v/>
      </c>
      <c r="S965" s="2"/>
      <c r="T965" s="6"/>
    </row>
    <row r="966" spans="1:20">
      <c r="A966" s="30"/>
      <c r="H966" s="30"/>
      <c r="K966" s="31" t="str">
        <f t="shared" si="15"/>
        <v/>
      </c>
      <c r="S966" s="2"/>
      <c r="T966" s="6"/>
    </row>
    <row r="967" spans="1:20">
      <c r="A967" s="30"/>
      <c r="H967" s="30"/>
      <c r="K967" s="31" t="str">
        <f t="shared" si="15"/>
        <v/>
      </c>
      <c r="S967" s="2"/>
      <c r="T967" s="6"/>
    </row>
    <row r="968" spans="1:20">
      <c r="A968" s="30"/>
      <c r="H968" s="30"/>
      <c r="K968" s="31" t="str">
        <f t="shared" si="15"/>
        <v/>
      </c>
      <c r="S968" s="2"/>
      <c r="T968" s="6"/>
    </row>
    <row r="969" spans="1:20">
      <c r="A969" s="30"/>
      <c r="H969" s="30"/>
      <c r="K969" s="31" t="str">
        <f t="shared" si="15"/>
        <v/>
      </c>
      <c r="S969" s="2"/>
      <c r="T969" s="6"/>
    </row>
    <row r="970" spans="1:20">
      <c r="A970" s="30"/>
      <c r="H970" s="30"/>
      <c r="K970" s="31" t="str">
        <f t="shared" si="15"/>
        <v/>
      </c>
      <c r="S970" s="2"/>
      <c r="T970" s="6"/>
    </row>
    <row r="971" spans="1:20">
      <c r="A971" s="30"/>
      <c r="H971" s="30"/>
      <c r="K971" s="31" t="str">
        <f t="shared" si="15"/>
        <v/>
      </c>
      <c r="S971" s="2"/>
      <c r="T971" s="6"/>
    </row>
    <row r="972" spans="1:20">
      <c r="A972" s="30"/>
      <c r="H972" s="30"/>
      <c r="K972" s="31" t="str">
        <f t="shared" si="15"/>
        <v/>
      </c>
      <c r="S972" s="2"/>
      <c r="T972" s="6"/>
    </row>
    <row r="973" spans="1:20">
      <c r="A973" s="30"/>
      <c r="H973" s="30"/>
      <c r="K973" s="31" t="str">
        <f t="shared" si="15"/>
        <v/>
      </c>
      <c r="S973" s="2"/>
      <c r="T973" s="6"/>
    </row>
    <row r="974" spans="1:20">
      <c r="A974" s="30"/>
      <c r="H974" s="30"/>
      <c r="K974" s="31" t="str">
        <f t="shared" si="15"/>
        <v/>
      </c>
      <c r="S974" s="2"/>
      <c r="T974" s="6"/>
    </row>
    <row r="975" spans="1:20">
      <c r="A975" s="30"/>
      <c r="H975" s="30"/>
      <c r="K975" s="31" t="str">
        <f t="shared" si="15"/>
        <v/>
      </c>
      <c r="S975" s="2"/>
      <c r="T975" s="6"/>
    </row>
    <row r="976" spans="1:20">
      <c r="A976" s="30"/>
      <c r="H976" s="30"/>
      <c r="K976" s="31" t="str">
        <f t="shared" si="15"/>
        <v/>
      </c>
      <c r="S976" s="2"/>
      <c r="T976" s="6"/>
    </row>
    <row r="977" spans="1:20">
      <c r="A977" s="30"/>
      <c r="H977" s="30"/>
      <c r="K977" s="31" t="str">
        <f t="shared" si="15"/>
        <v/>
      </c>
      <c r="S977" s="2"/>
      <c r="T977" s="6"/>
    </row>
    <row r="978" spans="1:20">
      <c r="A978" s="30"/>
      <c r="H978" s="30"/>
      <c r="K978" s="31" t="str">
        <f t="shared" si="15"/>
        <v/>
      </c>
      <c r="S978" s="2"/>
      <c r="T978" s="6"/>
    </row>
    <row r="979" spans="1:20">
      <c r="A979" s="30"/>
      <c r="H979" s="30"/>
      <c r="K979" s="31" t="str">
        <f t="shared" si="15"/>
        <v/>
      </c>
      <c r="S979" s="2"/>
      <c r="T979" s="6"/>
    </row>
    <row r="980" spans="1:20">
      <c r="A980" s="30"/>
      <c r="H980" s="30"/>
      <c r="K980" s="31" t="str">
        <f t="shared" si="15"/>
        <v/>
      </c>
      <c r="S980" s="2"/>
      <c r="T980" s="6"/>
    </row>
    <row r="981" spans="1:20">
      <c r="A981" s="30"/>
      <c r="H981" s="30"/>
      <c r="K981" s="31" t="str">
        <f t="shared" si="15"/>
        <v/>
      </c>
      <c r="S981" s="2"/>
      <c r="T981" s="6"/>
    </row>
    <row r="982" spans="1:20">
      <c r="A982" s="30"/>
      <c r="H982" s="30"/>
      <c r="K982" s="31" t="str">
        <f t="shared" si="15"/>
        <v/>
      </c>
      <c r="S982" s="2"/>
      <c r="T982" s="6"/>
    </row>
    <row r="983" spans="1:20">
      <c r="A983" s="30"/>
      <c r="H983" s="30"/>
      <c r="K983" s="31" t="str">
        <f t="shared" si="15"/>
        <v/>
      </c>
      <c r="S983" s="2"/>
      <c r="T983" s="6"/>
    </row>
    <row r="984" spans="1:20">
      <c r="A984" s="30"/>
      <c r="H984" s="30"/>
      <c r="K984" s="31" t="str">
        <f t="shared" si="15"/>
        <v/>
      </c>
      <c r="S984" s="2"/>
      <c r="T984" s="6"/>
    </row>
    <row r="985" spans="1:20">
      <c r="A985" s="30"/>
      <c r="H985" s="30"/>
      <c r="K985" s="31" t="str">
        <f t="shared" si="15"/>
        <v/>
      </c>
      <c r="S985" s="2"/>
      <c r="T985" s="6"/>
    </row>
    <row r="986" spans="1:20">
      <c r="A986" s="30"/>
      <c r="H986" s="30"/>
      <c r="K986" s="31" t="str">
        <f t="shared" si="15"/>
        <v/>
      </c>
      <c r="S986" s="2"/>
      <c r="T986" s="6"/>
    </row>
    <row r="987" spans="1:20">
      <c r="A987" s="30"/>
      <c r="H987" s="30"/>
      <c r="K987" s="31" t="str">
        <f t="shared" si="15"/>
        <v/>
      </c>
      <c r="S987" s="2"/>
      <c r="T987" s="6"/>
    </row>
    <row r="988" spans="1:20">
      <c r="A988" s="30"/>
      <c r="H988" s="30"/>
      <c r="K988" s="31" t="str">
        <f t="shared" si="15"/>
        <v/>
      </c>
      <c r="S988" s="2"/>
      <c r="T988" s="6"/>
    </row>
    <row r="989" spans="1:20">
      <c r="A989" s="30"/>
      <c r="H989" s="30"/>
      <c r="K989" s="31" t="str">
        <f t="shared" si="15"/>
        <v/>
      </c>
      <c r="S989" s="2"/>
      <c r="T989" s="6"/>
    </row>
    <row r="990" spans="1:20">
      <c r="A990" s="30"/>
      <c r="H990" s="30"/>
      <c r="K990" s="31" t="str">
        <f t="shared" si="15"/>
        <v/>
      </c>
      <c r="S990" s="2"/>
      <c r="T990" s="6"/>
    </row>
    <row r="991" spans="1:20">
      <c r="A991" s="30"/>
      <c r="H991" s="30"/>
      <c r="K991" s="31" t="str">
        <f t="shared" si="15"/>
        <v/>
      </c>
      <c r="S991" s="2"/>
      <c r="T991" s="6"/>
    </row>
    <row r="992" spans="1:20">
      <c r="A992" s="30"/>
      <c r="H992" s="30"/>
      <c r="K992" s="31" t="str">
        <f t="shared" si="15"/>
        <v/>
      </c>
      <c r="S992" s="2"/>
      <c r="T992" s="6"/>
    </row>
    <row r="993" spans="1:20">
      <c r="A993" s="30"/>
      <c r="H993" s="30"/>
      <c r="K993" s="31" t="str">
        <f t="shared" si="15"/>
        <v/>
      </c>
      <c r="S993" s="2"/>
      <c r="T993" s="6"/>
    </row>
    <row r="994" spans="1:20">
      <c r="A994" s="30"/>
      <c r="H994" s="30"/>
      <c r="K994" s="31" t="str">
        <f t="shared" si="15"/>
        <v/>
      </c>
      <c r="S994" s="2"/>
      <c r="T994" s="6"/>
    </row>
    <row r="995" spans="1:20">
      <c r="A995" s="30"/>
      <c r="H995" s="30"/>
      <c r="K995" s="31" t="str">
        <f t="shared" si="15"/>
        <v/>
      </c>
      <c r="S995" s="2"/>
      <c r="T995" s="6"/>
    </row>
    <row r="996" spans="1:20">
      <c r="A996" s="30"/>
      <c r="H996" s="30"/>
      <c r="K996" s="31" t="str">
        <f t="shared" si="15"/>
        <v/>
      </c>
      <c r="S996" s="2"/>
      <c r="T996" s="6"/>
    </row>
    <row r="997" spans="1:20">
      <c r="A997" s="30"/>
      <c r="H997" s="30"/>
      <c r="K997" s="31" t="str">
        <f t="shared" si="15"/>
        <v/>
      </c>
      <c r="S997" s="2"/>
      <c r="T997" s="6"/>
    </row>
    <row r="998" spans="1:20">
      <c r="A998" s="30"/>
      <c r="H998" s="30"/>
      <c r="K998" s="31" t="str">
        <f t="shared" si="15"/>
        <v/>
      </c>
      <c r="S998" s="2"/>
      <c r="T998" s="6"/>
    </row>
    <row r="999" spans="1:20">
      <c r="A999" s="30"/>
      <c r="H999" s="30"/>
      <c r="K999" s="31" t="str">
        <f t="shared" si="15"/>
        <v/>
      </c>
      <c r="S999" s="2"/>
      <c r="T999" s="6"/>
    </row>
    <row r="1000" spans="1:20">
      <c r="A1000" s="30"/>
      <c r="H1000" s="30"/>
      <c r="K1000" s="31" t="str">
        <f t="shared" si="15"/>
        <v/>
      </c>
      <c r="S1000" s="2"/>
      <c r="T1000" s="6"/>
    </row>
    <row r="1001" spans="1:20">
      <c r="A1001" s="30"/>
      <c r="H1001" s="30"/>
      <c r="K1001" s="31" t="str">
        <f t="shared" si="15"/>
        <v/>
      </c>
      <c r="S1001" s="2"/>
      <c r="T1001" s="6"/>
    </row>
  </sheetData>
  <phoneticPr fontId="18" type="noConversion"/>
  <conditionalFormatting sqref="G2:G1001">
    <cfRule type="expression" dxfId="2" priority="1">
      <formula>$G2="Rejected"</formula>
    </cfRule>
    <cfRule type="expression" dxfId="1" priority="2">
      <formula>OR($G2="Interview",$G2="Second Interview",$G2="Offer")</formula>
    </cfRule>
  </conditionalFormatting>
  <dataValidations count="10">
    <dataValidation type="list" errorStyle="warning" allowBlank="1" showErrorMessage="1" errorTitle="Add options on Lists" error="Choose a listed option, or update the Lists sheet." sqref="D2:D1001" xr:uid="{00000000-0002-0000-0100-000000000000}">
      <formula1>WorkArrangementOptions</formula1>
    </dataValidation>
    <dataValidation type="list" errorStyle="warning" allowBlank="1" showErrorMessage="1" errorTitle="Add options on Lists" error="Choose a listed option, or update the Lists sheet." sqref="E2:E1001" xr:uid="{00000000-0002-0000-0100-000001000000}">
      <formula1>ApplicationSourceOptions</formula1>
    </dataValidation>
    <dataValidation type="list" errorStyle="warning" allowBlank="1" showErrorMessage="1" errorTitle="Add options on Lists" error="Choose a listed option, or update the Lists sheet." sqref="G2:G1001" xr:uid="{00000000-0002-0000-0100-000002000000}">
      <formula1>JobStatusOptions</formula1>
    </dataValidation>
    <dataValidation type="list" errorStyle="warning" allowBlank="1" showErrorMessage="1" errorTitle="Add options on Lists" error="Choose a listed option, or update the Lists sheet." sqref="L2:L1001" xr:uid="{00000000-0002-0000-0100-000003000000}">
      <formula1>ResumeVersionOptions</formula1>
    </dataValidation>
    <dataValidation type="list" errorStyle="warning" allowBlank="1" showErrorMessage="1" errorTitle="Add options on Lists" error="Choose a listed option, or update the Lists sheet." sqref="N2:N1001" xr:uid="{00000000-0002-0000-0100-000005000000}">
      <formula1>ResumeActivityOptions</formula1>
    </dataValidation>
    <dataValidation type="list" errorStyle="warning" allowBlank="1" showErrorMessage="1" errorTitle="Add options on Lists" error="Choose a listed option, or update the Lists sheet." sqref="O2:O1001" xr:uid="{00000000-0002-0000-0100-000006000000}">
      <formula1>RecruiterContactOptions</formula1>
    </dataValidation>
    <dataValidation type="list" errorStyle="warning" allowBlank="1" showErrorMessage="1" errorTitle="Add options on Lists" error="Choose a listed option, or update the Lists sheet." sqref="P2:P1001" xr:uid="{00000000-0002-0000-0100-000007000000}">
      <formula1>InterviewStageOptions</formula1>
    </dataValidation>
    <dataValidation type="list" errorStyle="warning" allowBlank="1" showErrorMessage="1" errorTitle="Add options on Lists" error="Choose a listed option, or update the Lists sheet." sqref="Q2:Q1001" xr:uid="{00000000-0002-0000-0100-000008000000}">
      <formula1>FeedbackTypeOptions</formula1>
    </dataValidation>
    <dataValidation type="list" errorStyle="warning" allowBlank="1" showErrorMessage="1" errorTitle="Add options on Lists" error="Choose a listed option, or update the Lists sheet." sqref="S2:S1001" xr:uid="{00000000-0002-0000-0100-000009000000}">
      <formula1>SalaryRangeOptions</formula1>
    </dataValidation>
    <dataValidation type="list" errorStyle="warning" allowBlank="1" showErrorMessage="1" errorTitle="Add options on Lists" error="Choose a listed option, or update the Lists sheet." sqref="M2:M1001" xr:uid="{00000000-0002-0000-0100-000004000000}">
      <formula1>PositionCategoryOptions</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90"/>
  <sheetViews>
    <sheetView workbookViewId="0">
      <pane ySplit="2" topLeftCell="A29" activePane="bottomLeft" state="frozen"/>
      <selection pane="bottomLeft" activeCell="A28" sqref="A28"/>
    </sheetView>
  </sheetViews>
  <sheetFormatPr defaultRowHeight="14.25"/>
  <cols>
    <col min="1" max="1" width="19" customWidth="1"/>
    <col min="2" max="9" width="14" customWidth="1"/>
    <col min="10" max="10" width="5.75" customWidth="1"/>
    <col min="11" max="17" width="14" customWidth="1"/>
    <col min="18" max="18" width="19" customWidth="1"/>
    <col min="19" max="21" width="14" customWidth="1"/>
  </cols>
  <sheetData>
    <row r="1" spans="1:21" ht="45" customHeight="1">
      <c r="A1" s="7" t="s">
        <v>18</v>
      </c>
      <c r="B1" s="7"/>
      <c r="C1" s="7"/>
      <c r="D1" s="7"/>
      <c r="E1" s="7"/>
      <c r="F1" s="7"/>
      <c r="G1" s="7"/>
      <c r="H1" s="7"/>
      <c r="I1" s="7"/>
      <c r="J1" s="7"/>
      <c r="K1" s="7"/>
      <c r="L1" s="7"/>
      <c r="M1" s="7"/>
      <c r="N1" s="7"/>
      <c r="O1" s="7"/>
      <c r="P1" s="7"/>
      <c r="Q1" s="7"/>
      <c r="R1" s="7"/>
      <c r="S1" s="7"/>
      <c r="T1" s="7"/>
      <c r="U1" s="7"/>
    </row>
    <row r="2" spans="1:21" ht="29.1" customHeight="1">
      <c r="A2" s="8" t="s">
        <v>155</v>
      </c>
      <c r="B2" s="8"/>
      <c r="C2" s="8"/>
      <c r="D2" s="8"/>
      <c r="E2" s="8"/>
      <c r="F2" s="8"/>
      <c r="G2" s="8"/>
      <c r="H2" s="8"/>
      <c r="I2" s="8"/>
      <c r="J2" s="8"/>
      <c r="K2" s="8"/>
      <c r="L2" s="8"/>
      <c r="M2" s="8"/>
      <c r="N2" s="8"/>
      <c r="O2" s="8"/>
      <c r="P2" s="8"/>
      <c r="Q2" s="8"/>
      <c r="R2" s="8"/>
      <c r="S2" s="8"/>
      <c r="T2" s="8"/>
      <c r="U2" s="8"/>
    </row>
    <row r="4" spans="1:21" ht="26.1" customHeight="1">
      <c r="A4" s="9" t="s">
        <v>19</v>
      </c>
      <c r="B4" s="9"/>
      <c r="C4" s="9"/>
      <c r="D4" s="9"/>
      <c r="E4" s="9" t="s">
        <v>20</v>
      </c>
      <c r="F4" s="9"/>
      <c r="G4" s="9"/>
      <c r="H4" s="9"/>
      <c r="I4" s="9" t="s">
        <v>121</v>
      </c>
      <c r="J4" s="9"/>
      <c r="K4" s="9"/>
      <c r="L4" s="9"/>
      <c r="M4" s="9" t="s">
        <v>122</v>
      </c>
      <c r="N4" s="9"/>
      <c r="O4" s="9"/>
      <c r="P4" s="9"/>
      <c r="Q4" s="9" t="s">
        <v>21</v>
      </c>
      <c r="R4" s="9"/>
      <c r="S4" s="9"/>
      <c r="T4" s="9"/>
      <c r="U4" s="9"/>
    </row>
    <row r="5" spans="1:21" ht="45" customHeight="1">
      <c r="A5" s="10">
        <f>COUNTIF('Job Applications'!$B$2:$B$1001,"&lt;&gt;")</f>
        <v>2</v>
      </c>
      <c r="B5" s="10"/>
      <c r="C5" s="10"/>
      <c r="D5" s="10"/>
      <c r="E5" s="10">
        <f>SUMPRODUCT(--('Job Applications'!$B$2:$B$1001&lt;&gt;""),--(((('Job Applications'!$N$2:$N$1001="Viewed")+('Job Applications'!$N$2:$N$1001="Downloaded")+('Job Applications'!$N$2:$N$1001="Viewed + Downloaded")+('Job Applications'!$G$2:$G$1001="Application Viewed")+('Job Applications'!$G$2:$G$1001="Resume Downloaded")))&gt;0))</f>
        <v>2</v>
      </c>
      <c r="F5" s="10"/>
      <c r="G5" s="10"/>
      <c r="H5" s="10"/>
      <c r="I5" s="10">
        <f>SUMPRODUCT(--('Job Applications'!$B$2:$B$1001&lt;&gt;""),--(((('Job Applications'!$O$2:$O$1001&lt;&gt;"")*('Job Applications'!$O$2:$O$1001&lt;&gt;"None reported")+('Job Applications'!$P$2:$P$1001&lt;&gt;"")*('Job Applications'!$P$2:$P$1001&lt;&gt;"None")+('Job Applications'!$G$2:$G$1001="Phone Screening")+('Job Applications'!$G$2:$G$1001="Interview")+('Job Applications'!$G$2:$G$1001="Second Interview")+('Job Applications'!$G$2:$G$1001="Final Interview")+('Job Applications'!$G$2:$G$1001="Recruiter Contacted")+('Job Applications'!$G$2:$G$1001="Offer")))&gt;0))</f>
        <v>2</v>
      </c>
      <c r="J5" s="10"/>
      <c r="K5" s="10"/>
      <c r="L5" s="10"/>
      <c r="M5" s="10">
        <f>SUMPRODUCT(--('Job Applications'!$B$2:$B$1001&lt;&gt;""),--(((('Job Applications'!$P$2:$P$1001&lt;&gt;"")*('Job Applications'!$P$2:$P$1001&lt;&gt;"None")+('Job Applications'!$G$2:$G$1001="Phone Screening")+('Job Applications'!$G$2:$G$1001="Interview")+('Job Applications'!$G$2:$G$1001="Second Interview")+('Job Applications'!$G$2:$G$1001="Final Interview")))&gt;0))</f>
        <v>2</v>
      </c>
      <c r="N5" s="10"/>
      <c r="O5" s="10"/>
      <c r="P5" s="10"/>
      <c r="Q5" s="10">
        <f>COUNTIFS('Job Applications'!$B$2:$B$1001,"&lt;&gt;",'Job Applications'!$G$2:$G$1001,"Offer")</f>
        <v>0</v>
      </c>
      <c r="R5" s="10"/>
      <c r="S5" s="10"/>
      <c r="T5" s="10"/>
      <c r="U5" s="10"/>
    </row>
    <row r="6" spans="1:21" ht="13.5" customHeight="1">
      <c r="A6" s="10"/>
      <c r="B6" s="10"/>
      <c r="C6" s="10"/>
      <c r="D6" s="10"/>
      <c r="E6" s="10"/>
      <c r="F6" s="10"/>
      <c r="G6" s="10"/>
      <c r="H6" s="10"/>
      <c r="I6" s="10"/>
      <c r="J6" s="10"/>
      <c r="K6" s="10"/>
      <c r="L6" s="10"/>
      <c r="M6" s="10"/>
      <c r="N6" s="10"/>
      <c r="O6" s="10"/>
      <c r="P6" s="10"/>
      <c r="Q6" s="10"/>
      <c r="R6" s="10"/>
      <c r="S6" s="10"/>
      <c r="T6" s="10"/>
      <c r="U6" s="10"/>
    </row>
    <row r="7" spans="1:21" ht="13.5" customHeight="1">
      <c r="A7" s="10"/>
      <c r="B7" s="10"/>
      <c r="C7" s="10"/>
      <c r="D7" s="10"/>
      <c r="E7" s="10"/>
      <c r="F7" s="10"/>
      <c r="G7" s="10"/>
      <c r="H7" s="10"/>
      <c r="I7" s="10"/>
      <c r="J7" s="10"/>
      <c r="K7" s="10"/>
      <c r="L7" s="10"/>
      <c r="M7" s="10"/>
      <c r="N7" s="10"/>
      <c r="O7" s="10"/>
      <c r="P7" s="10"/>
      <c r="Q7" s="10"/>
      <c r="R7" s="10"/>
      <c r="S7" s="10"/>
      <c r="T7" s="10"/>
      <c r="U7" s="10"/>
    </row>
    <row r="9" spans="1:21" ht="29.1" customHeight="1">
      <c r="A9" s="11" t="s">
        <v>22</v>
      </c>
      <c r="B9" s="11"/>
      <c r="C9" s="11"/>
      <c r="D9" s="11"/>
      <c r="E9" s="11"/>
      <c r="F9" s="11"/>
      <c r="G9" s="11"/>
      <c r="H9" s="11"/>
      <c r="I9" s="11"/>
      <c r="K9" s="11" t="s">
        <v>123</v>
      </c>
      <c r="L9" s="11"/>
      <c r="M9" s="11"/>
      <c r="N9" s="11"/>
      <c r="O9" s="11"/>
      <c r="P9" s="11"/>
      <c r="Q9" s="11"/>
      <c r="R9" s="11"/>
      <c r="S9" s="11"/>
      <c r="T9" s="11"/>
      <c r="U9" s="11"/>
    </row>
    <row r="10" spans="1:21" ht="24.95" customHeight="1">
      <c r="A10" s="13" t="s">
        <v>23</v>
      </c>
      <c r="B10" s="13" t="s">
        <v>24</v>
      </c>
      <c r="K10" s="13" t="s">
        <v>25</v>
      </c>
      <c r="L10" s="13" t="s">
        <v>24</v>
      </c>
      <c r="M10" s="13" t="s">
        <v>26</v>
      </c>
    </row>
    <row r="11" spans="1:21">
      <c r="A11" t="s">
        <v>27</v>
      </c>
      <c r="B11">
        <f>A5</f>
        <v>2</v>
      </c>
      <c r="K11" s="12">
        <f>IF(COUNT('Job Applications'!$A$2:$A$1001)=0,"",DATE(YEAR(MIN('Job Applications'!$A$2:$A$1001)),MONTH(MIN('Job Applications'!$A$2:$A$1001)),1))</f>
        <v>46296</v>
      </c>
      <c r="L11">
        <f>IF(K11="","",COUNTIFS('Job Applications'!$B$2:$B$1001,"&lt;&gt;",'Job Applications'!$A$2:$A$1001,"&gt;="&amp;K11,'Job Applications'!$A$2:$A$1001,"&lt;"&amp;EDATE(K11,1)))</f>
        <v>2</v>
      </c>
      <c r="M11" t="str">
        <f t="shared" ref="M11:M22" si="0">IF(K11="","",TEXT(K11,"mmm yy"))</f>
        <v>Oct 26</v>
      </c>
    </row>
    <row r="12" spans="1:21">
      <c r="A12" t="s">
        <v>28</v>
      </c>
      <c r="B12">
        <f>E5</f>
        <v>2</v>
      </c>
      <c r="K12" s="12">
        <f t="shared" ref="K12:K22" si="1">IF(K11="","",EDATE(K11,1))</f>
        <v>46327</v>
      </c>
      <c r="L12">
        <f>IF(K12="","",COUNTIFS('Job Applications'!$B$2:$B$1001,"&lt;&gt;",'Job Applications'!$A$2:$A$1001,"&gt;="&amp;K12,'Job Applications'!$A$2:$A$1001,"&lt;"&amp;EDATE(K12,1)))</f>
        <v>0</v>
      </c>
      <c r="M12" t="str">
        <f t="shared" si="0"/>
        <v>Nov 26</v>
      </c>
    </row>
    <row r="13" spans="1:21">
      <c r="A13" t="s">
        <v>124</v>
      </c>
      <c r="B13">
        <f>I5</f>
        <v>2</v>
      </c>
      <c r="K13" s="12">
        <f t="shared" si="1"/>
        <v>46357</v>
      </c>
      <c r="L13">
        <f>IF(K13="","",COUNTIFS('Job Applications'!$B$2:$B$1001,"&lt;&gt;",'Job Applications'!$A$2:$A$1001,"&gt;="&amp;K13,'Job Applications'!$A$2:$A$1001,"&lt;"&amp;EDATE(K13,1)))</f>
        <v>0</v>
      </c>
      <c r="M13" t="str">
        <f t="shared" si="0"/>
        <v>Dec 26</v>
      </c>
    </row>
    <row r="14" spans="1:21">
      <c r="A14" t="s">
        <v>125</v>
      </c>
      <c r="B14">
        <f>M5</f>
        <v>2</v>
      </c>
      <c r="K14" s="12">
        <f t="shared" si="1"/>
        <v>46388</v>
      </c>
      <c r="L14">
        <f>IF(K14="","",COUNTIFS('Job Applications'!$B$2:$B$1001,"&lt;&gt;",'Job Applications'!$A$2:$A$1001,"&gt;="&amp;K14,'Job Applications'!$A$2:$A$1001,"&lt;"&amp;EDATE(K14,1)))</f>
        <v>0</v>
      </c>
      <c r="M14" t="str">
        <f t="shared" si="0"/>
        <v>Jan 27</v>
      </c>
    </row>
    <row r="15" spans="1:21">
      <c r="A15" t="s">
        <v>29</v>
      </c>
      <c r="B15">
        <f>Q5</f>
        <v>0</v>
      </c>
      <c r="K15" s="12">
        <f t="shared" si="1"/>
        <v>46419</v>
      </c>
      <c r="L15">
        <f>IF(K15="","",COUNTIFS('Job Applications'!$B$2:$B$1001,"&lt;&gt;",'Job Applications'!$A$2:$A$1001,"&gt;="&amp;K15,'Job Applications'!$A$2:$A$1001,"&lt;"&amp;EDATE(K15,1)))</f>
        <v>0</v>
      </c>
      <c r="M15" t="str">
        <f t="shared" si="0"/>
        <v>Feb 27</v>
      </c>
    </row>
    <row r="16" spans="1:21">
      <c r="A16" t="s">
        <v>30</v>
      </c>
      <c r="B16">
        <f>COUNTIFS('Job Applications'!$B$2:$B$1001,"&lt;&gt;",'Job Applications'!$G$2:$G$1001,"Rejected")</f>
        <v>1</v>
      </c>
      <c r="K16" s="12">
        <f t="shared" si="1"/>
        <v>46447</v>
      </c>
      <c r="L16">
        <f>IF(K16="","",COUNTIFS('Job Applications'!$B$2:$B$1001,"&lt;&gt;",'Job Applications'!$A$2:$A$1001,"&gt;="&amp;K16,'Job Applications'!$A$2:$A$1001,"&lt;"&amp;EDATE(K16,1)))</f>
        <v>0</v>
      </c>
      <c r="M16" t="str">
        <f t="shared" si="0"/>
        <v>Mar 27</v>
      </c>
    </row>
    <row r="17" spans="1:21">
      <c r="K17" s="12">
        <f t="shared" si="1"/>
        <v>46478</v>
      </c>
      <c r="L17">
        <f>IF(K17="","",COUNTIFS('Job Applications'!$B$2:$B$1001,"&lt;&gt;",'Job Applications'!$A$2:$A$1001,"&gt;="&amp;K17,'Job Applications'!$A$2:$A$1001,"&lt;"&amp;EDATE(K17,1)))</f>
        <v>0</v>
      </c>
      <c r="M17" t="str">
        <f t="shared" si="0"/>
        <v>Apr 27</v>
      </c>
    </row>
    <row r="18" spans="1:21">
      <c r="K18" s="12">
        <f t="shared" si="1"/>
        <v>46508</v>
      </c>
      <c r="L18">
        <f>IF(K18="","",COUNTIFS('Job Applications'!$B$2:$B$1001,"&lt;&gt;",'Job Applications'!$A$2:$A$1001,"&gt;="&amp;K18,'Job Applications'!$A$2:$A$1001,"&lt;"&amp;EDATE(K18,1)))</f>
        <v>0</v>
      </c>
      <c r="M18" t="str">
        <f t="shared" si="0"/>
        <v>May 27</v>
      </c>
    </row>
    <row r="19" spans="1:21">
      <c r="K19" s="12">
        <f t="shared" si="1"/>
        <v>46539</v>
      </c>
      <c r="L19">
        <f>IF(K19="","",COUNTIFS('Job Applications'!$B$2:$B$1001,"&lt;&gt;",'Job Applications'!$A$2:$A$1001,"&gt;="&amp;K19,'Job Applications'!$A$2:$A$1001,"&lt;"&amp;EDATE(K19,1)))</f>
        <v>0</v>
      </c>
      <c r="M19" t="str">
        <f t="shared" si="0"/>
        <v>Jun 27</v>
      </c>
    </row>
    <row r="20" spans="1:21">
      <c r="K20" s="12">
        <f t="shared" si="1"/>
        <v>46569</v>
      </c>
      <c r="L20">
        <f>IF(K20="","",COUNTIFS('Job Applications'!$B$2:$B$1001,"&lt;&gt;",'Job Applications'!$A$2:$A$1001,"&gt;="&amp;K20,'Job Applications'!$A$2:$A$1001,"&lt;"&amp;EDATE(K20,1)))</f>
        <v>0</v>
      </c>
      <c r="M20" t="str">
        <f t="shared" si="0"/>
        <v>Jul 27</v>
      </c>
    </row>
    <row r="21" spans="1:21">
      <c r="K21" s="12">
        <f t="shared" si="1"/>
        <v>46600</v>
      </c>
      <c r="L21">
        <f>IF(K21="","",COUNTIFS('Job Applications'!$B$2:$B$1001,"&lt;&gt;",'Job Applications'!$A$2:$A$1001,"&gt;="&amp;K21,'Job Applications'!$A$2:$A$1001,"&lt;"&amp;EDATE(K21,1)))</f>
        <v>0</v>
      </c>
      <c r="M21" t="str">
        <f t="shared" si="0"/>
        <v>Aug 27</v>
      </c>
    </row>
    <row r="22" spans="1:21">
      <c r="K22" s="12">
        <f t="shared" si="1"/>
        <v>46631</v>
      </c>
      <c r="L22">
        <f>IF(K22="","",COUNTIFS('Job Applications'!$B$2:$B$1001,"&lt;&gt;",'Job Applications'!$A$2:$A$1001,"&gt;="&amp;K22,'Job Applications'!$A$2:$A$1001,"&lt;"&amp;EDATE(K22,1)))</f>
        <v>0</v>
      </c>
      <c r="M22" t="str">
        <f t="shared" si="0"/>
        <v>Sep 27</v>
      </c>
    </row>
    <row r="26" spans="1:21" ht="29.1" customHeight="1">
      <c r="A26" s="11" t="s">
        <v>31</v>
      </c>
      <c r="B26" s="11"/>
      <c r="C26" s="11"/>
      <c r="D26" s="11"/>
      <c r="E26" s="11"/>
      <c r="F26" s="11"/>
      <c r="G26" s="11"/>
      <c r="H26" s="11"/>
      <c r="I26" s="11"/>
      <c r="K26" s="11" t="s">
        <v>32</v>
      </c>
      <c r="L26" s="11"/>
      <c r="M26" s="11"/>
      <c r="N26" s="11"/>
      <c r="O26" s="11"/>
      <c r="P26" s="11"/>
      <c r="Q26" s="11"/>
      <c r="R26" s="11" t="s">
        <v>126</v>
      </c>
      <c r="S26" s="11"/>
      <c r="T26" s="11"/>
      <c r="U26" s="11"/>
    </row>
    <row r="27" spans="1:21" ht="27.95" customHeight="1">
      <c r="A27" s="14" t="s">
        <v>33</v>
      </c>
      <c r="B27" s="14" t="s">
        <v>34</v>
      </c>
      <c r="C27" s="14" t="s">
        <v>35</v>
      </c>
      <c r="D27" s="14" t="s">
        <v>36</v>
      </c>
      <c r="K27" s="14" t="s">
        <v>37</v>
      </c>
      <c r="L27" s="14" t="s">
        <v>34</v>
      </c>
      <c r="M27" s="14" t="s">
        <v>35</v>
      </c>
      <c r="N27" s="14" t="s">
        <v>36</v>
      </c>
      <c r="R27" s="14" t="s">
        <v>127</v>
      </c>
      <c r="S27" s="14" t="s">
        <v>34</v>
      </c>
      <c r="T27" s="14" t="s">
        <v>35</v>
      </c>
      <c r="U27" s="14" t="s">
        <v>36</v>
      </c>
    </row>
    <row r="28" spans="1:21">
      <c r="A28" t="str">
        <f>IF(Lists!E2="","",Lists!E2)</f>
        <v>Category 1</v>
      </c>
      <c r="B28">
        <f>IF(A28="","",COUNTIFS('Job Applications'!$B$2:$B$1001,"&lt;&gt;",'Job Applications'!$M$2:$M$1001,A28))</f>
        <v>1</v>
      </c>
      <c r="C28">
        <f>IF(A28="","",SUMPRODUCT(--('Job Applications'!$B$2:$B$1001&lt;&gt;""),--('Job Applications'!$M$2:$M$1001=A28),--((('Job Applications'!$P$2:$P$1001&lt;&gt;"")*('Job Applications'!$P$2:$P$1001&lt;&gt;"None")+('Job Applications'!$G$2:$G$1001="Phone Screening")+('Job Applications'!$G$2:$G$1001="Interview")+('Job Applications'!$G$2:$G$1001="Second Interview")+('Job Applications'!$G$2:$G$1001="Final Interview"))&gt;0)))</f>
        <v>1</v>
      </c>
      <c r="D28" s="15">
        <f t="shared" ref="D28:D41" si="2">IFERROR(C28/B28,"")</f>
        <v>1</v>
      </c>
      <c r="K28" t="str">
        <f>IF(Lists!D2="","",Lists!D2)</f>
        <v>Resume 1</v>
      </c>
      <c r="L28">
        <f>IF(K28="","",COUNTIFS('Job Applications'!$B$2:$B$1001,"&lt;&gt;",'Job Applications'!$L$2:$L$1001,K28))</f>
        <v>1</v>
      </c>
      <c r="M28">
        <f>IF(K28="","",SUMPRODUCT(--('Job Applications'!$B$2:$B$1001&lt;&gt;""),--('Job Applications'!$L$2:$L$1001=K28),--((('Job Applications'!$P$2:$P$1001&lt;&gt;"")*('Job Applications'!$P$2:$P$1001&lt;&gt;"None")+('Job Applications'!$G$2:$G$1001="Phone Screening")+('Job Applications'!$G$2:$G$1001="Interview")+('Job Applications'!$G$2:$G$1001="Second Interview")+('Job Applications'!$G$2:$G$1001="Final Interview"))&gt;0)))</f>
        <v>1</v>
      </c>
      <c r="N28" s="15">
        <f t="shared" ref="N28:N41" si="3">IFERROR(M28/L28,"")</f>
        <v>1</v>
      </c>
      <c r="R28" t="str">
        <f>IF(Lists!J2="","",Lists!J2)</f>
        <v>Under $50,000</v>
      </c>
      <c r="S28">
        <f>IF(R28="","",COUNTIFS('Job Applications'!$B$2:$B$1001,"&lt;&gt;",'Job Applications'!$S$2:$S$1001,R28))</f>
        <v>1</v>
      </c>
      <c r="T28">
        <f>IF(R28="","",SUMPRODUCT(--('Job Applications'!$B$2:$B$1001&lt;&gt;""),--('Job Applications'!$S$2:$S$1001=R28),--((('Job Applications'!$P$2:$P$1001&lt;&gt;"")*('Job Applications'!$P$2:$P$1001&lt;&gt;"None")+('Job Applications'!$G$2:$G$1001="Phone Screening")+('Job Applications'!$G$2:$G$1001="Interview")+('Job Applications'!$G$2:$G$1001="Second Interview")+('Job Applications'!$G$2:$G$1001="Final Interview"))&gt;0)))</f>
        <v>1</v>
      </c>
      <c r="U28" s="15">
        <f t="shared" ref="U28:U41" si="4">IFERROR(T28/S28,"")</f>
        <v>1</v>
      </c>
    </row>
    <row r="29" spans="1:21">
      <c r="A29" t="str">
        <f>IF(Lists!E3="","",Lists!E3)</f>
        <v>Category 2</v>
      </c>
      <c r="B29">
        <f>IF(A29="","",COUNTIFS('Job Applications'!$B$2:$B$1001,"&lt;&gt;",'Job Applications'!$M$2:$M$1001,A29))</f>
        <v>1</v>
      </c>
      <c r="C29">
        <f>IF(A29="","",SUMPRODUCT(--('Job Applications'!$B$2:$B$1001&lt;&gt;""),--('Job Applications'!$M$2:$M$1001=A29),--((('Job Applications'!$P$2:$P$1001&lt;&gt;"")*('Job Applications'!$P$2:$P$1001&lt;&gt;"None")+('Job Applications'!$G$2:$G$1001="Phone Screening")+('Job Applications'!$G$2:$G$1001="Interview")+('Job Applications'!$G$2:$G$1001="Second Interview")+('Job Applications'!$G$2:$G$1001="Final Interview"))&gt;0)))</f>
        <v>1</v>
      </c>
      <c r="D29" s="15">
        <f t="shared" si="2"/>
        <v>1</v>
      </c>
      <c r="K29" t="str">
        <f>IF(Lists!D3="","",Lists!D3)</f>
        <v>Resume 2</v>
      </c>
      <c r="L29">
        <f>IF(K29="","",COUNTIFS('Job Applications'!$B$2:$B$1001,"&lt;&gt;",'Job Applications'!$L$2:$L$1001,K29))</f>
        <v>1</v>
      </c>
      <c r="M29">
        <f>IF(K29="","",SUMPRODUCT(--('Job Applications'!$B$2:$B$1001&lt;&gt;""),--('Job Applications'!$L$2:$L$1001=K29),--((('Job Applications'!$P$2:$P$1001&lt;&gt;"")*('Job Applications'!$P$2:$P$1001&lt;&gt;"None")+('Job Applications'!$G$2:$G$1001="Phone Screening")+('Job Applications'!$G$2:$G$1001="Interview")+('Job Applications'!$G$2:$G$1001="Second Interview")+('Job Applications'!$G$2:$G$1001="Final Interview"))&gt;0)))</f>
        <v>1</v>
      </c>
      <c r="N29" s="15">
        <f t="shared" si="3"/>
        <v>1</v>
      </c>
      <c r="R29" t="str">
        <f>IF(Lists!J3="","",Lists!J3)</f>
        <v>$50,000–$74,999</v>
      </c>
      <c r="S29">
        <f>IF(R29="","",COUNTIFS('Job Applications'!$B$2:$B$1001,"&lt;&gt;",'Job Applications'!$S$2:$S$1001,R29))</f>
        <v>1</v>
      </c>
      <c r="T29">
        <f>IF(R29="","",SUMPRODUCT(--('Job Applications'!$B$2:$B$1001&lt;&gt;""),--('Job Applications'!$S$2:$S$1001=R29),--((('Job Applications'!$P$2:$P$1001&lt;&gt;"")*('Job Applications'!$P$2:$P$1001&lt;&gt;"None")+('Job Applications'!$G$2:$G$1001="Phone Screening")+('Job Applications'!$G$2:$G$1001="Interview")+('Job Applications'!$G$2:$G$1001="Second Interview")+('Job Applications'!$G$2:$G$1001="Final Interview"))&gt;0)))</f>
        <v>1</v>
      </c>
      <c r="U29" s="15">
        <f t="shared" si="4"/>
        <v>1</v>
      </c>
    </row>
    <row r="30" spans="1:21">
      <c r="A30" t="str">
        <f>IF(Lists!E4="","",Lists!E4)</f>
        <v>Category 3</v>
      </c>
      <c r="B30">
        <f>IF(A30="","",COUNTIFS('Job Applications'!$B$2:$B$1001,"&lt;&gt;",'Job Applications'!$M$2:$M$1001,A30))</f>
        <v>0</v>
      </c>
      <c r="C30">
        <f>IF(A30="","",SUMPRODUCT(--('Job Applications'!$B$2:$B$1001&lt;&gt;""),--('Job Applications'!$M$2:$M$1001=A30),--((('Job Applications'!$P$2:$P$1001&lt;&gt;"")*('Job Applications'!$P$2:$P$1001&lt;&gt;"None")+('Job Applications'!$G$2:$G$1001="Phone Screening")+('Job Applications'!$G$2:$G$1001="Interview")+('Job Applications'!$G$2:$G$1001="Second Interview")+('Job Applications'!$G$2:$G$1001="Final Interview"))&gt;0)))</f>
        <v>0</v>
      </c>
      <c r="D30" s="15" t="str">
        <f t="shared" si="2"/>
        <v/>
      </c>
      <c r="K30" t="str">
        <f>IF(Lists!D4="","",Lists!D4)</f>
        <v>Resume 3</v>
      </c>
      <c r="L30">
        <f>IF(K30="","",COUNTIFS('Job Applications'!$B$2:$B$1001,"&lt;&gt;",'Job Applications'!$L$2:$L$1001,K30))</f>
        <v>0</v>
      </c>
      <c r="M30">
        <f>IF(K30="","",SUMPRODUCT(--('Job Applications'!$B$2:$B$1001&lt;&gt;""),--('Job Applications'!$L$2:$L$1001=K30),--((('Job Applications'!$P$2:$P$1001&lt;&gt;"")*('Job Applications'!$P$2:$P$1001&lt;&gt;"None")+('Job Applications'!$G$2:$G$1001="Phone Screening")+('Job Applications'!$G$2:$G$1001="Interview")+('Job Applications'!$G$2:$G$1001="Second Interview")+('Job Applications'!$G$2:$G$1001="Final Interview"))&gt;0)))</f>
        <v>0</v>
      </c>
      <c r="N30" s="15" t="str">
        <f t="shared" si="3"/>
        <v/>
      </c>
      <c r="R30" t="str">
        <f>IF(Lists!J4="","",Lists!J4)</f>
        <v>$75,000–$99,999</v>
      </c>
      <c r="S30">
        <f>IF(R30="","",COUNTIFS('Job Applications'!$B$2:$B$1001,"&lt;&gt;",'Job Applications'!$S$2:$S$1001,R30))</f>
        <v>0</v>
      </c>
      <c r="T30">
        <f>IF(R30="","",SUMPRODUCT(--('Job Applications'!$B$2:$B$1001&lt;&gt;""),--('Job Applications'!$S$2:$S$1001=R30),--((('Job Applications'!$P$2:$P$1001&lt;&gt;"")*('Job Applications'!$P$2:$P$1001&lt;&gt;"None")+('Job Applications'!$G$2:$G$1001="Phone Screening")+('Job Applications'!$G$2:$G$1001="Interview")+('Job Applications'!$G$2:$G$1001="Second Interview")+('Job Applications'!$G$2:$G$1001="Final Interview"))&gt;0)))</f>
        <v>0</v>
      </c>
      <c r="U30" s="15" t="str">
        <f t="shared" si="4"/>
        <v/>
      </c>
    </row>
    <row r="31" spans="1:21">
      <c r="A31">
        <f>IF(Lists!E5="","",Lists!E5)</f>
        <v>3</v>
      </c>
      <c r="B31">
        <f>IF(A31="","",COUNTIFS('Job Applications'!$B$2:$B$1001,"&lt;&gt;",'Job Applications'!$M$2:$M$1001,A31))</f>
        <v>0</v>
      </c>
      <c r="C31">
        <f>IF(A31="","",SUMPRODUCT(--('Job Applications'!$B$2:$B$1001&lt;&gt;""),--('Job Applications'!$M$2:$M$1001=A31),--((('Job Applications'!$P$2:$P$1001&lt;&gt;"")*('Job Applications'!$P$2:$P$1001&lt;&gt;"None")+('Job Applications'!$G$2:$G$1001="Phone Screening")+('Job Applications'!$G$2:$G$1001="Interview")+('Job Applications'!$G$2:$G$1001="Second Interview")+('Job Applications'!$G$2:$G$1001="Final Interview"))&gt;0)))</f>
        <v>0</v>
      </c>
      <c r="D31" s="15" t="str">
        <f t="shared" si="2"/>
        <v/>
      </c>
      <c r="K31" t="str">
        <f>IF(Lists!D5="","",Lists!D5)</f>
        <v>Resume 4</v>
      </c>
      <c r="L31">
        <f>IF(K31="","",COUNTIFS('Job Applications'!$B$2:$B$1001,"&lt;&gt;",'Job Applications'!$L$2:$L$1001,K31))</f>
        <v>0</v>
      </c>
      <c r="M31">
        <f>IF(K31="","",SUMPRODUCT(--('Job Applications'!$B$2:$B$1001&lt;&gt;""),--('Job Applications'!$L$2:$L$1001=K31),--((('Job Applications'!$P$2:$P$1001&lt;&gt;"")*('Job Applications'!$P$2:$P$1001&lt;&gt;"None")+('Job Applications'!$G$2:$G$1001="Phone Screening")+('Job Applications'!$G$2:$G$1001="Interview")+('Job Applications'!$G$2:$G$1001="Second Interview")+('Job Applications'!$G$2:$G$1001="Final Interview"))&gt;0)))</f>
        <v>0</v>
      </c>
      <c r="N31" s="15" t="str">
        <f t="shared" si="3"/>
        <v/>
      </c>
      <c r="R31" t="str">
        <f>IF(Lists!J5="","",Lists!J5)</f>
        <v>$100,000–$124,999</v>
      </c>
      <c r="S31">
        <f>IF(R31="","",COUNTIFS('Job Applications'!$B$2:$B$1001,"&lt;&gt;",'Job Applications'!$S$2:$S$1001,R31))</f>
        <v>0</v>
      </c>
      <c r="T31">
        <f>IF(R31="","",SUMPRODUCT(--('Job Applications'!$B$2:$B$1001&lt;&gt;""),--('Job Applications'!$S$2:$S$1001=R31),--((('Job Applications'!$P$2:$P$1001&lt;&gt;"")*('Job Applications'!$P$2:$P$1001&lt;&gt;"None")+('Job Applications'!$G$2:$G$1001="Phone Screening")+('Job Applications'!$G$2:$G$1001="Interview")+('Job Applications'!$G$2:$G$1001="Second Interview")+('Job Applications'!$G$2:$G$1001="Final Interview"))&gt;0)))</f>
        <v>0</v>
      </c>
      <c r="U31" s="15" t="str">
        <f t="shared" si="4"/>
        <v/>
      </c>
    </row>
    <row r="32" spans="1:21">
      <c r="A32" t="str">
        <f>IF(Lists!E6="","",Lists!E6)</f>
        <v/>
      </c>
      <c r="B32" t="str">
        <f>IF(A32="","",COUNTIFS('Job Applications'!$B$2:$B$1001,"&lt;&gt;",'Job Applications'!$M$2:$M$1001,A32))</f>
        <v/>
      </c>
      <c r="C32" t="str">
        <f>IF(A32="","",SUMPRODUCT(--('Job Applications'!$B$2:$B$1001&lt;&gt;""),--('Job Applications'!$M$2:$M$1001=A32),--((('Job Applications'!$P$2:$P$1001&lt;&gt;"")*('Job Applications'!$P$2:$P$1001&lt;&gt;"None")+('Job Applications'!$G$2:$G$1001="Phone Screening")+('Job Applications'!$G$2:$G$1001="Interview")+('Job Applications'!$G$2:$G$1001="Second Interview")+('Job Applications'!$G$2:$G$1001="Final Interview"))&gt;0)))</f>
        <v/>
      </c>
      <c r="D32" s="15" t="str">
        <f t="shared" si="2"/>
        <v/>
      </c>
      <c r="K32" t="str">
        <f>IF(Lists!D6="","",Lists!D6)</f>
        <v/>
      </c>
      <c r="L32" t="str">
        <f>IF(K32="","",COUNTIFS('Job Applications'!$B$2:$B$1001,"&lt;&gt;",'Job Applications'!$L$2:$L$1001,K32))</f>
        <v/>
      </c>
      <c r="M32" t="str">
        <f>IF(K32="","",SUMPRODUCT(--('Job Applications'!$B$2:$B$1001&lt;&gt;""),--('Job Applications'!$L$2:$L$1001=K32),--((('Job Applications'!$P$2:$P$1001&lt;&gt;"")*('Job Applications'!$P$2:$P$1001&lt;&gt;"None")+('Job Applications'!$G$2:$G$1001="Phone Screening")+('Job Applications'!$G$2:$G$1001="Interview")+('Job Applications'!$G$2:$G$1001="Second Interview")+('Job Applications'!$G$2:$G$1001="Final Interview"))&gt;0)))</f>
        <v/>
      </c>
      <c r="N32" s="15" t="str">
        <f t="shared" si="3"/>
        <v/>
      </c>
      <c r="R32" t="str">
        <f>IF(Lists!J6="","",Lists!J6)</f>
        <v>$125,000–$149,999</v>
      </c>
      <c r="S32">
        <f>IF(R32="","",COUNTIFS('Job Applications'!$B$2:$B$1001,"&lt;&gt;",'Job Applications'!$S$2:$S$1001,R32))</f>
        <v>0</v>
      </c>
      <c r="T32">
        <f>IF(R32="","",SUMPRODUCT(--('Job Applications'!$B$2:$B$1001&lt;&gt;""),--('Job Applications'!$S$2:$S$1001=R32),--((('Job Applications'!$P$2:$P$1001&lt;&gt;"")*('Job Applications'!$P$2:$P$1001&lt;&gt;"None")+('Job Applications'!$G$2:$G$1001="Phone Screening")+('Job Applications'!$G$2:$G$1001="Interview")+('Job Applications'!$G$2:$G$1001="Second Interview")+('Job Applications'!$G$2:$G$1001="Final Interview"))&gt;0)))</f>
        <v>0</v>
      </c>
      <c r="U32" s="15" t="str">
        <f t="shared" si="4"/>
        <v/>
      </c>
    </row>
    <row r="33" spans="1:21">
      <c r="A33" t="str">
        <f>IF(Lists!E7="","",Lists!E7)</f>
        <v/>
      </c>
      <c r="B33" t="str">
        <f>IF(A33="","",COUNTIFS('Job Applications'!$B$2:$B$1001,"&lt;&gt;",'Job Applications'!$M$2:$M$1001,A33))</f>
        <v/>
      </c>
      <c r="C33" t="str">
        <f>IF(A33="","",SUMPRODUCT(--('Job Applications'!$B$2:$B$1001&lt;&gt;""),--('Job Applications'!$M$2:$M$1001=A33),--((('Job Applications'!$P$2:$P$1001&lt;&gt;"")*('Job Applications'!$P$2:$P$1001&lt;&gt;"None")+('Job Applications'!$G$2:$G$1001="Phone Screening")+('Job Applications'!$G$2:$G$1001="Interview")+('Job Applications'!$G$2:$G$1001="Second Interview")+('Job Applications'!$G$2:$G$1001="Final Interview"))&gt;0)))</f>
        <v/>
      </c>
      <c r="D33" s="15" t="str">
        <f t="shared" si="2"/>
        <v/>
      </c>
      <c r="K33" t="str">
        <f>IF(Lists!D7="","",Lists!D7)</f>
        <v/>
      </c>
      <c r="L33" t="str">
        <f>IF(K33="","",COUNTIFS('Job Applications'!$B$2:$B$1001,"&lt;&gt;",'Job Applications'!$L$2:$L$1001,K33))</f>
        <v/>
      </c>
      <c r="M33" t="str">
        <f>IF(K33="","",SUMPRODUCT(--('Job Applications'!$B$2:$B$1001&lt;&gt;""),--('Job Applications'!$L$2:$L$1001=K33),--((('Job Applications'!$P$2:$P$1001&lt;&gt;"")*('Job Applications'!$P$2:$P$1001&lt;&gt;"None")+('Job Applications'!$G$2:$G$1001="Phone Screening")+('Job Applications'!$G$2:$G$1001="Interview")+('Job Applications'!$G$2:$G$1001="Second Interview")+('Job Applications'!$G$2:$G$1001="Final Interview"))&gt;0)))</f>
        <v/>
      </c>
      <c r="N33" s="15" t="str">
        <f t="shared" si="3"/>
        <v/>
      </c>
      <c r="R33" t="str">
        <f>IF(Lists!J7="","",Lists!J7)</f>
        <v>$150,000–$174,999</v>
      </c>
      <c r="S33">
        <f>IF(R33="","",COUNTIFS('Job Applications'!$B$2:$B$1001,"&lt;&gt;",'Job Applications'!$S$2:$S$1001,R33))</f>
        <v>0</v>
      </c>
      <c r="T33">
        <f>IF(R33="","",SUMPRODUCT(--('Job Applications'!$B$2:$B$1001&lt;&gt;""),--('Job Applications'!$S$2:$S$1001=R33),--((('Job Applications'!$P$2:$P$1001&lt;&gt;"")*('Job Applications'!$P$2:$P$1001&lt;&gt;"None")+('Job Applications'!$G$2:$G$1001="Phone Screening")+('Job Applications'!$G$2:$G$1001="Interview")+('Job Applications'!$G$2:$G$1001="Second Interview")+('Job Applications'!$G$2:$G$1001="Final Interview"))&gt;0)))</f>
        <v>0</v>
      </c>
      <c r="U33" t="str">
        <f t="shared" si="4"/>
        <v/>
      </c>
    </row>
    <row r="34" spans="1:21">
      <c r="A34" t="str">
        <f>IF(Lists!E8="","",Lists!E8)</f>
        <v/>
      </c>
      <c r="B34" t="str">
        <f>IF(A34="","",COUNTIFS('Job Applications'!$B$2:$B$1001,"&lt;&gt;",'Job Applications'!$M$2:$M$1001,A34))</f>
        <v/>
      </c>
      <c r="C34" t="str">
        <f>IF(A34="","",SUMPRODUCT(--('Job Applications'!$B$2:$B$1001&lt;&gt;""),--('Job Applications'!$M$2:$M$1001=A34),--((('Job Applications'!$P$2:$P$1001&lt;&gt;"")*('Job Applications'!$P$2:$P$1001&lt;&gt;"None")+('Job Applications'!$G$2:$G$1001="Phone Screening")+('Job Applications'!$G$2:$G$1001="Interview")+('Job Applications'!$G$2:$G$1001="Second Interview")+('Job Applications'!$G$2:$G$1001="Final Interview"))&gt;0)))</f>
        <v/>
      </c>
      <c r="D34" s="15" t="str">
        <f t="shared" si="2"/>
        <v/>
      </c>
      <c r="K34" t="str">
        <f>IF(Lists!D8="","",Lists!D8)</f>
        <v/>
      </c>
      <c r="L34" t="str">
        <f>IF(K34="","",COUNTIFS('Job Applications'!$B$2:$B$1001,"&lt;&gt;",'Job Applications'!$L$2:$L$1001,K34))</f>
        <v/>
      </c>
      <c r="M34" t="str">
        <f>IF(K34="","",SUMPRODUCT(--('Job Applications'!$B$2:$B$1001&lt;&gt;""),--('Job Applications'!$L$2:$L$1001=K34),--((('Job Applications'!$P$2:$P$1001&lt;&gt;"")*('Job Applications'!$P$2:$P$1001&lt;&gt;"None")+('Job Applications'!$G$2:$G$1001="Phone Screening")+('Job Applications'!$G$2:$G$1001="Interview")+('Job Applications'!$G$2:$G$1001="Second Interview")+('Job Applications'!$G$2:$G$1001="Final Interview"))&gt;0)))</f>
        <v/>
      </c>
      <c r="N34" s="15" t="str">
        <f t="shared" si="3"/>
        <v/>
      </c>
      <c r="R34" t="str">
        <f>IF(Lists!J8="","",Lists!J8)</f>
        <v>$175,000–$199,999</v>
      </c>
      <c r="S34">
        <f>IF(R34="","",COUNTIFS('Job Applications'!$B$2:$B$1001,"&lt;&gt;",'Job Applications'!$S$2:$S$1001,R34))</f>
        <v>0</v>
      </c>
      <c r="T34">
        <f>IF(R34="","",SUMPRODUCT(--('Job Applications'!$B$2:$B$1001&lt;&gt;""),--('Job Applications'!$S$2:$S$1001=R34),--((('Job Applications'!$P$2:$P$1001&lt;&gt;"")*('Job Applications'!$P$2:$P$1001&lt;&gt;"None")+('Job Applications'!$G$2:$G$1001="Phone Screening")+('Job Applications'!$G$2:$G$1001="Interview")+('Job Applications'!$G$2:$G$1001="Second Interview")+('Job Applications'!$G$2:$G$1001="Final Interview"))&gt;0)))</f>
        <v>0</v>
      </c>
      <c r="U34" t="str">
        <f t="shared" si="4"/>
        <v/>
      </c>
    </row>
    <row r="35" spans="1:21">
      <c r="A35" t="str">
        <f>IF(Lists!E9="","",Lists!E9)</f>
        <v/>
      </c>
      <c r="B35" t="str">
        <f>IF(A35="","",COUNTIFS('Job Applications'!$B$2:$B$1001,"&lt;&gt;",'Job Applications'!$M$2:$M$1001,A35))</f>
        <v/>
      </c>
      <c r="C35" t="str">
        <f>IF(A35="","",SUMPRODUCT(--('Job Applications'!$B$2:$B$1001&lt;&gt;""),--('Job Applications'!$M$2:$M$1001=A35),--((('Job Applications'!$P$2:$P$1001&lt;&gt;"")*('Job Applications'!$P$2:$P$1001&lt;&gt;"None")+('Job Applications'!$G$2:$G$1001="Phone Screening")+('Job Applications'!$G$2:$G$1001="Interview")+('Job Applications'!$G$2:$G$1001="Second Interview")+('Job Applications'!$G$2:$G$1001="Final Interview"))&gt;0)))</f>
        <v/>
      </c>
      <c r="D35" s="15" t="str">
        <f t="shared" si="2"/>
        <v/>
      </c>
      <c r="K35" t="str">
        <f>IF(Lists!D9="","",Lists!D9)</f>
        <v/>
      </c>
      <c r="L35" t="str">
        <f>IF(K35="","",COUNTIFS('Job Applications'!$B$2:$B$1001,"&lt;&gt;",'Job Applications'!$L$2:$L$1001,K35))</f>
        <v/>
      </c>
      <c r="M35" t="str">
        <f>IF(K35="","",SUMPRODUCT(--('Job Applications'!$B$2:$B$1001&lt;&gt;""),--('Job Applications'!$L$2:$L$1001=K35),--((('Job Applications'!$P$2:$P$1001&lt;&gt;"")*('Job Applications'!$P$2:$P$1001&lt;&gt;"None")+('Job Applications'!$G$2:$G$1001="Phone Screening")+('Job Applications'!$G$2:$G$1001="Interview")+('Job Applications'!$G$2:$G$1001="Second Interview")+('Job Applications'!$G$2:$G$1001="Final Interview"))&gt;0)))</f>
        <v/>
      </c>
      <c r="N35" s="15" t="str">
        <f t="shared" si="3"/>
        <v/>
      </c>
      <c r="R35" t="str">
        <f>IF(Lists!J9="","",Lists!J9)</f>
        <v>$200,000+</v>
      </c>
      <c r="S35">
        <f>IF(R35="","",COUNTIFS('Job Applications'!$B$2:$B$1001,"&lt;&gt;",'Job Applications'!$S$2:$S$1001,R35))</f>
        <v>0</v>
      </c>
      <c r="T35">
        <f>IF(R35="","",SUMPRODUCT(--('Job Applications'!$B$2:$B$1001&lt;&gt;""),--('Job Applications'!$S$2:$S$1001=R35),--((('Job Applications'!$P$2:$P$1001&lt;&gt;"")*('Job Applications'!$P$2:$P$1001&lt;&gt;"None")+('Job Applications'!$G$2:$G$1001="Phone Screening")+('Job Applications'!$G$2:$G$1001="Interview")+('Job Applications'!$G$2:$G$1001="Second Interview")+('Job Applications'!$G$2:$G$1001="Final Interview"))&gt;0)))</f>
        <v>0</v>
      </c>
      <c r="U35" t="str">
        <f t="shared" si="4"/>
        <v/>
      </c>
    </row>
    <row r="36" spans="1:21">
      <c r="A36" t="str">
        <f>IF(Lists!E10="","",Lists!E10)</f>
        <v/>
      </c>
      <c r="B36" t="str">
        <f>IF(A36="","",COUNTIFS('Job Applications'!$B$2:$B$1001,"&lt;&gt;",'Job Applications'!$M$2:$M$1001,A36))</f>
        <v/>
      </c>
      <c r="C36" t="str">
        <f>IF(A36="","",SUMPRODUCT(--('Job Applications'!$B$2:$B$1001&lt;&gt;""),--('Job Applications'!$M$2:$M$1001=A36),--((('Job Applications'!$P$2:$P$1001&lt;&gt;"")*('Job Applications'!$P$2:$P$1001&lt;&gt;"None")+('Job Applications'!$G$2:$G$1001="Phone Screening")+('Job Applications'!$G$2:$G$1001="Interview")+('Job Applications'!$G$2:$G$1001="Second Interview")+('Job Applications'!$G$2:$G$1001="Final Interview"))&gt;0)))</f>
        <v/>
      </c>
      <c r="D36" s="15" t="str">
        <f t="shared" si="2"/>
        <v/>
      </c>
      <c r="K36" t="str">
        <f>IF(Lists!D10="","",Lists!D10)</f>
        <v/>
      </c>
      <c r="L36" t="str">
        <f>IF(K36="","",COUNTIFS('Job Applications'!$B$2:$B$1001,"&lt;&gt;",'Job Applications'!$L$2:$L$1001,K36))</f>
        <v/>
      </c>
      <c r="M36" t="str">
        <f>IF(K36="","",SUMPRODUCT(--('Job Applications'!$B$2:$B$1001&lt;&gt;""),--('Job Applications'!$L$2:$L$1001=K36),--((('Job Applications'!$P$2:$P$1001&lt;&gt;"")*('Job Applications'!$P$2:$P$1001&lt;&gt;"None")+('Job Applications'!$G$2:$G$1001="Phone Screening")+('Job Applications'!$G$2:$G$1001="Interview")+('Job Applications'!$G$2:$G$1001="Second Interview")+('Job Applications'!$G$2:$G$1001="Final Interview"))&gt;0)))</f>
        <v/>
      </c>
      <c r="N36" s="15" t="str">
        <f t="shared" si="3"/>
        <v/>
      </c>
      <c r="R36" t="str">
        <f>IF(Lists!J10="","",Lists!J10)</f>
        <v>Not Disclosed</v>
      </c>
      <c r="S36">
        <f>IF(R36="","",COUNTIFS('Job Applications'!$B$2:$B$1001,"&lt;&gt;",'Job Applications'!$S$2:$S$1001,R36))</f>
        <v>0</v>
      </c>
      <c r="T36">
        <f>IF(R36="","",SUMPRODUCT(--('Job Applications'!$B$2:$B$1001&lt;&gt;""),--('Job Applications'!$S$2:$S$1001=R36),--((('Job Applications'!$P$2:$P$1001&lt;&gt;"")*('Job Applications'!$P$2:$P$1001&lt;&gt;"None")+('Job Applications'!$G$2:$G$1001="Phone Screening")+('Job Applications'!$G$2:$G$1001="Interview")+('Job Applications'!$G$2:$G$1001="Second Interview")+('Job Applications'!$G$2:$G$1001="Final Interview"))&gt;0)))</f>
        <v>0</v>
      </c>
      <c r="U36" t="str">
        <f t="shared" si="4"/>
        <v/>
      </c>
    </row>
    <row r="37" spans="1:21">
      <c r="A37" t="str">
        <f>IF(Lists!E11="","",Lists!E11)</f>
        <v/>
      </c>
      <c r="B37" t="str">
        <f>IF(A37="","",COUNTIFS('Job Applications'!$B$2:$B$1001,"&lt;&gt;",'Job Applications'!$M$2:$M$1001,A37))</f>
        <v/>
      </c>
      <c r="C37" t="str">
        <f>IF(A37="","",SUMPRODUCT(--('Job Applications'!$B$2:$B$1001&lt;&gt;""),--('Job Applications'!$M$2:$M$1001=A37),--((('Job Applications'!$P$2:$P$1001&lt;&gt;"")*('Job Applications'!$P$2:$P$1001&lt;&gt;"None")+('Job Applications'!$G$2:$G$1001="Phone Screening")+('Job Applications'!$G$2:$G$1001="Interview")+('Job Applications'!$G$2:$G$1001="Second Interview")+('Job Applications'!$G$2:$G$1001="Final Interview"))&gt;0)))</f>
        <v/>
      </c>
      <c r="D37" s="15" t="str">
        <f t="shared" si="2"/>
        <v/>
      </c>
      <c r="K37" t="str">
        <f>IF(Lists!D11="","",Lists!D11)</f>
        <v/>
      </c>
      <c r="L37" t="str">
        <f>IF(K37="","",COUNTIFS('Job Applications'!$B$2:$B$1001,"&lt;&gt;",'Job Applications'!$L$2:$L$1001,K37))</f>
        <v/>
      </c>
      <c r="M37" t="str">
        <f>IF(K37="","",SUMPRODUCT(--('Job Applications'!$B$2:$B$1001&lt;&gt;""),--('Job Applications'!$L$2:$L$1001=K37),--((('Job Applications'!$P$2:$P$1001&lt;&gt;"")*('Job Applications'!$P$2:$P$1001&lt;&gt;"None")+('Job Applications'!$G$2:$G$1001="Phone Screening")+('Job Applications'!$G$2:$G$1001="Interview")+('Job Applications'!$G$2:$G$1001="Second Interview")+('Job Applications'!$G$2:$G$1001="Final Interview"))&gt;0)))</f>
        <v/>
      </c>
      <c r="N37" s="15" t="str">
        <f t="shared" si="3"/>
        <v/>
      </c>
      <c r="R37" t="str">
        <f>IF(Lists!J11="","",Lists!J11)</f>
        <v>Negotiable</v>
      </c>
      <c r="S37">
        <f>IF(R37="","",COUNTIFS('Job Applications'!$B$2:$B$1001,"&lt;&gt;",'Job Applications'!$S$2:$S$1001,R37))</f>
        <v>0</v>
      </c>
      <c r="T37">
        <f>IF(R37="","",SUMPRODUCT(--('Job Applications'!$B$2:$B$1001&lt;&gt;""),--('Job Applications'!$S$2:$S$1001=R37),--((('Job Applications'!$P$2:$P$1001&lt;&gt;"")*('Job Applications'!$P$2:$P$1001&lt;&gt;"None")+('Job Applications'!$G$2:$G$1001="Phone Screening")+('Job Applications'!$G$2:$G$1001="Interview")+('Job Applications'!$G$2:$G$1001="Second Interview")+('Job Applications'!$G$2:$G$1001="Final Interview"))&gt;0)))</f>
        <v>0</v>
      </c>
      <c r="U37" t="str">
        <f t="shared" si="4"/>
        <v/>
      </c>
    </row>
    <row r="38" spans="1:21">
      <c r="A38" t="str">
        <f>IF(Lists!E12="","",Lists!E12)</f>
        <v/>
      </c>
      <c r="B38" t="str">
        <f>IF(A38="","",COUNTIFS('Job Applications'!$B$2:$B$1001,"&lt;&gt;",'Job Applications'!$M$2:$M$1001,A38))</f>
        <v/>
      </c>
      <c r="C38" t="str">
        <f>IF(A38="","",SUMPRODUCT(--('Job Applications'!$B$2:$B$1001&lt;&gt;""),--('Job Applications'!$M$2:$M$1001=A38),--((('Job Applications'!$P$2:$P$1001&lt;&gt;"")*('Job Applications'!$P$2:$P$1001&lt;&gt;"None")+('Job Applications'!$G$2:$G$1001="Phone Screening")+('Job Applications'!$G$2:$G$1001="Interview")+('Job Applications'!$G$2:$G$1001="Second Interview")+('Job Applications'!$G$2:$G$1001="Final Interview"))&gt;0)))</f>
        <v/>
      </c>
      <c r="D38" s="15" t="str">
        <f t="shared" si="2"/>
        <v/>
      </c>
      <c r="K38" t="str">
        <f>IF(Lists!D12="","",Lists!D12)</f>
        <v/>
      </c>
      <c r="L38" t="str">
        <f>IF(K38="","",COUNTIFS('Job Applications'!$B$2:$B$1001,"&lt;&gt;",'Job Applications'!$L$2:$L$1001,K38))</f>
        <v/>
      </c>
      <c r="M38" t="str">
        <f>IF(K38="","",SUMPRODUCT(--('Job Applications'!$B$2:$B$1001&lt;&gt;""),--('Job Applications'!$L$2:$L$1001=K38),--((('Job Applications'!$P$2:$P$1001&lt;&gt;"")*('Job Applications'!$P$2:$P$1001&lt;&gt;"None")+('Job Applications'!$G$2:$G$1001="Phone Screening")+('Job Applications'!$G$2:$G$1001="Interview")+('Job Applications'!$G$2:$G$1001="Second Interview")+('Job Applications'!$G$2:$G$1001="Final Interview"))&gt;0)))</f>
        <v/>
      </c>
      <c r="N38" s="15" t="str">
        <f t="shared" si="3"/>
        <v/>
      </c>
      <c r="R38" t="str">
        <f>IF(Lists!J12="","",Lists!J12)</f>
        <v/>
      </c>
      <c r="S38" t="str">
        <f>IF(R38="","",COUNTIFS('Job Applications'!$B$2:$B$1001,"&lt;&gt;",'Job Applications'!$S$2:$S$1001,R38))</f>
        <v/>
      </c>
      <c r="T38" t="str">
        <f>IF(R38="","",SUMPRODUCT(--('Job Applications'!$B$2:$B$1001&lt;&gt;""),--('Job Applications'!$S$2:$S$1001=R38),--((('Job Applications'!$P$2:$P$1001&lt;&gt;"")*('Job Applications'!$P$2:$P$1001&lt;&gt;"None")+('Job Applications'!$G$2:$G$1001="Phone Screening")+('Job Applications'!$G$2:$G$1001="Interview")+('Job Applications'!$G$2:$G$1001="Second Interview")+('Job Applications'!$G$2:$G$1001="Final Interview"))&gt;0)))</f>
        <v/>
      </c>
      <c r="U38" t="str">
        <f t="shared" si="4"/>
        <v/>
      </c>
    </row>
    <row r="39" spans="1:21">
      <c r="A39" t="str">
        <f>IF(Lists!E13="","",Lists!E13)</f>
        <v/>
      </c>
      <c r="B39" t="str">
        <f>IF(A39="","",COUNTIFS('Job Applications'!$B$2:$B$1001,"&lt;&gt;",'Job Applications'!$M$2:$M$1001,A39))</f>
        <v/>
      </c>
      <c r="C39" t="str">
        <f>IF(A39="","",SUMPRODUCT(--('Job Applications'!$B$2:$B$1001&lt;&gt;""),--('Job Applications'!$M$2:$M$1001=A39),--((('Job Applications'!$P$2:$P$1001&lt;&gt;"")*('Job Applications'!$P$2:$P$1001&lt;&gt;"None")+('Job Applications'!$G$2:$G$1001="Phone Screening")+('Job Applications'!$G$2:$G$1001="Interview")+('Job Applications'!$G$2:$G$1001="Second Interview")+('Job Applications'!$G$2:$G$1001="Final Interview"))&gt;0)))</f>
        <v/>
      </c>
      <c r="D39" s="15" t="str">
        <f t="shared" si="2"/>
        <v/>
      </c>
      <c r="K39" t="str">
        <f>IF(Lists!D13="","",Lists!D13)</f>
        <v/>
      </c>
      <c r="L39" t="str">
        <f>IF(K39="","",COUNTIFS('Job Applications'!$B$2:$B$1001,"&lt;&gt;",'Job Applications'!$L$2:$L$1001,K39))</f>
        <v/>
      </c>
      <c r="M39" t="str">
        <f>IF(K39="","",SUMPRODUCT(--('Job Applications'!$B$2:$B$1001&lt;&gt;""),--('Job Applications'!$L$2:$L$1001=K39),--((('Job Applications'!$P$2:$P$1001&lt;&gt;"")*('Job Applications'!$P$2:$P$1001&lt;&gt;"None")+('Job Applications'!$G$2:$G$1001="Phone Screening")+('Job Applications'!$G$2:$G$1001="Interview")+('Job Applications'!$G$2:$G$1001="Second Interview")+('Job Applications'!$G$2:$G$1001="Final Interview"))&gt;0)))</f>
        <v/>
      </c>
      <c r="N39" s="15" t="str">
        <f t="shared" si="3"/>
        <v/>
      </c>
      <c r="R39" t="str">
        <f>IF(Lists!J13="","",Lists!J13)</f>
        <v/>
      </c>
      <c r="S39" t="str">
        <f>IF(R39="","",COUNTIFS('Job Applications'!$B$2:$B$1001,"&lt;&gt;",'Job Applications'!$S$2:$S$1001,R39))</f>
        <v/>
      </c>
      <c r="T39" t="str">
        <f>IF(R39="","",SUMPRODUCT(--('Job Applications'!$B$2:$B$1001&lt;&gt;""),--('Job Applications'!$S$2:$S$1001=R39),--((('Job Applications'!$P$2:$P$1001&lt;&gt;"")*('Job Applications'!$P$2:$P$1001&lt;&gt;"None")+('Job Applications'!$G$2:$G$1001="Phone Screening")+('Job Applications'!$G$2:$G$1001="Interview")+('Job Applications'!$G$2:$G$1001="Second Interview")+('Job Applications'!$G$2:$G$1001="Final Interview"))&gt;0)))</f>
        <v/>
      </c>
      <c r="U39" t="str">
        <f t="shared" si="4"/>
        <v/>
      </c>
    </row>
    <row r="40" spans="1:21">
      <c r="A40" t="str">
        <f>IF(Lists!E14="","",Lists!E14)</f>
        <v/>
      </c>
      <c r="B40" t="str">
        <f>IF(A40="","",COUNTIFS('Job Applications'!$B$2:$B$1001,"&lt;&gt;",'Job Applications'!$M$2:$M$1001,A40))</f>
        <v/>
      </c>
      <c r="C40" t="str">
        <f>IF(A40="","",SUMPRODUCT(--('Job Applications'!$B$2:$B$1001&lt;&gt;""),--('Job Applications'!$M$2:$M$1001=A40),--((('Job Applications'!$P$2:$P$1001&lt;&gt;"")*('Job Applications'!$P$2:$P$1001&lt;&gt;"None")+('Job Applications'!$G$2:$G$1001="Phone Screening")+('Job Applications'!$G$2:$G$1001="Interview")+('Job Applications'!$G$2:$G$1001="Second Interview")+('Job Applications'!$G$2:$G$1001="Final Interview"))&gt;0)))</f>
        <v/>
      </c>
      <c r="D40" s="15" t="str">
        <f t="shared" si="2"/>
        <v/>
      </c>
      <c r="K40" t="str">
        <f>IF(Lists!D14="","",Lists!D14)</f>
        <v/>
      </c>
      <c r="L40" t="str">
        <f>IF(K40="","",COUNTIFS('Job Applications'!$B$2:$B$1001,"&lt;&gt;",'Job Applications'!$L$2:$L$1001,K40))</f>
        <v/>
      </c>
      <c r="M40" t="str">
        <f>IF(K40="","",SUMPRODUCT(--('Job Applications'!$B$2:$B$1001&lt;&gt;""),--('Job Applications'!$L$2:$L$1001=K40),--((('Job Applications'!$P$2:$P$1001&lt;&gt;"")*('Job Applications'!$P$2:$P$1001&lt;&gt;"None")+('Job Applications'!$G$2:$G$1001="Phone Screening")+('Job Applications'!$G$2:$G$1001="Interview")+('Job Applications'!$G$2:$G$1001="Second Interview")+('Job Applications'!$G$2:$G$1001="Final Interview"))&gt;0)))</f>
        <v/>
      </c>
      <c r="N40" s="15" t="str">
        <f t="shared" si="3"/>
        <v/>
      </c>
      <c r="R40" t="str">
        <f>IF(Lists!J14="","",Lists!J14)</f>
        <v/>
      </c>
      <c r="S40" t="str">
        <f>IF(R40="","",COUNTIFS('Job Applications'!$B$2:$B$1001,"&lt;&gt;",'Job Applications'!$S$2:$S$1001,R40))</f>
        <v/>
      </c>
      <c r="T40" t="str">
        <f>IF(R40="","",SUMPRODUCT(--('Job Applications'!$B$2:$B$1001&lt;&gt;""),--('Job Applications'!$S$2:$S$1001=R40),--((('Job Applications'!$P$2:$P$1001&lt;&gt;"")*('Job Applications'!$P$2:$P$1001&lt;&gt;"None")+('Job Applications'!$G$2:$G$1001="Phone Screening")+('Job Applications'!$G$2:$G$1001="Interview")+('Job Applications'!$G$2:$G$1001="Second Interview")+('Job Applications'!$G$2:$G$1001="Final Interview"))&gt;0)))</f>
        <v/>
      </c>
      <c r="U40" t="str">
        <f t="shared" si="4"/>
        <v/>
      </c>
    </row>
    <row r="41" spans="1:21">
      <c r="A41" t="str">
        <f>IF(Lists!E15="","",Lists!E15)</f>
        <v/>
      </c>
      <c r="B41" t="str">
        <f>IF(A41="","",COUNTIFS('Job Applications'!$B$2:$B$1001,"&lt;&gt;",'Job Applications'!$M$2:$M$1001,A41))</f>
        <v/>
      </c>
      <c r="C41" t="str">
        <f>IF(A41="","",SUMPRODUCT(--('Job Applications'!$B$2:$B$1001&lt;&gt;""),--('Job Applications'!$M$2:$M$1001=A41),--((('Job Applications'!$P$2:$P$1001&lt;&gt;"")*('Job Applications'!$P$2:$P$1001&lt;&gt;"None")+('Job Applications'!$G$2:$G$1001="Phone Screening")+('Job Applications'!$G$2:$G$1001="Interview")+('Job Applications'!$G$2:$G$1001="Second Interview")+('Job Applications'!$G$2:$G$1001="Final Interview"))&gt;0)))</f>
        <v/>
      </c>
      <c r="D41" s="15" t="str">
        <f t="shared" si="2"/>
        <v/>
      </c>
      <c r="K41" t="str">
        <f>IF(Lists!D15="","",Lists!D15)</f>
        <v/>
      </c>
      <c r="L41" t="str">
        <f>IF(K41="","",COUNTIFS('Job Applications'!$B$2:$B$1001,"&lt;&gt;",'Job Applications'!$L$2:$L$1001,K41))</f>
        <v/>
      </c>
      <c r="M41" t="str">
        <f>IF(K41="","",SUMPRODUCT(--('Job Applications'!$B$2:$B$1001&lt;&gt;""),--('Job Applications'!$L$2:$L$1001=K41),--((('Job Applications'!$P$2:$P$1001&lt;&gt;"")*('Job Applications'!$P$2:$P$1001&lt;&gt;"None")+('Job Applications'!$G$2:$G$1001="Phone Screening")+('Job Applications'!$G$2:$G$1001="Interview")+('Job Applications'!$G$2:$G$1001="Second Interview")+('Job Applications'!$G$2:$G$1001="Final Interview"))&gt;0)))</f>
        <v/>
      </c>
      <c r="N41" s="15" t="str">
        <f t="shared" si="3"/>
        <v/>
      </c>
      <c r="R41" t="str">
        <f>IF(Lists!J15="","",Lists!J15)</f>
        <v/>
      </c>
      <c r="S41" t="str">
        <f>IF(R41="","",COUNTIFS('Job Applications'!$B$2:$B$1001,"&lt;&gt;",'Job Applications'!$S$2:$S$1001,R41))</f>
        <v/>
      </c>
      <c r="T41" t="str">
        <f>IF(R41="","",SUMPRODUCT(--('Job Applications'!$B$2:$B$1001&lt;&gt;""),--('Job Applications'!$S$2:$S$1001=R41),--((('Job Applications'!$P$2:$P$1001&lt;&gt;"")*('Job Applications'!$P$2:$P$1001&lt;&gt;"None")+('Job Applications'!$G$2:$G$1001="Phone Screening")+('Job Applications'!$G$2:$G$1001="Interview")+('Job Applications'!$G$2:$G$1001="Second Interview")+('Job Applications'!$G$2:$G$1001="Final Interview"))&gt;0)))</f>
        <v/>
      </c>
      <c r="U41" t="str">
        <f t="shared" si="4"/>
        <v/>
      </c>
    </row>
    <row r="42" spans="1:21">
      <c r="D42" s="15"/>
      <c r="N42" s="15"/>
    </row>
    <row r="43" spans="1:21">
      <c r="D43" s="15"/>
      <c r="N43" s="15"/>
    </row>
    <row r="44" spans="1:21">
      <c r="D44" s="15"/>
      <c r="N44" s="15"/>
    </row>
    <row r="45" spans="1:21">
      <c r="D45" s="15"/>
      <c r="N45" s="15"/>
    </row>
    <row r="46" spans="1:21">
      <c r="D46" s="15"/>
      <c r="N46" s="15"/>
    </row>
    <row r="47" spans="1:21">
      <c r="D47" s="15"/>
      <c r="N47" s="15"/>
    </row>
    <row r="48" spans="1:21">
      <c r="D48" s="15"/>
      <c r="N48" s="15"/>
    </row>
    <row r="49" spans="1:14">
      <c r="D49" s="15"/>
      <c r="N49" s="15"/>
    </row>
    <row r="50" spans="1:14">
      <c r="A50" s="43" t="s">
        <v>128</v>
      </c>
      <c r="D50" s="15"/>
      <c r="N50" s="15"/>
    </row>
    <row r="51" spans="1:14">
      <c r="D51" s="15"/>
      <c r="N51" s="15"/>
    </row>
    <row r="52" spans="1:14">
      <c r="D52" s="15"/>
      <c r="N52" s="15"/>
    </row>
    <row r="53" spans="1:14">
      <c r="D53" s="15"/>
      <c r="N53" s="15"/>
    </row>
    <row r="54" spans="1:14">
      <c r="D54" s="15"/>
      <c r="N54" s="15"/>
    </row>
    <row r="55" spans="1:14">
      <c r="D55" s="15"/>
      <c r="N55" s="15"/>
    </row>
    <row r="56" spans="1:14">
      <c r="D56" s="15"/>
      <c r="N56" s="15"/>
    </row>
    <row r="57" spans="1:14">
      <c r="D57" s="15"/>
      <c r="N57" s="15"/>
    </row>
    <row r="58" spans="1:14">
      <c r="D58" s="15"/>
      <c r="N58" s="15"/>
    </row>
    <row r="59" spans="1:14">
      <c r="D59" s="15"/>
      <c r="N59" s="15"/>
    </row>
    <row r="60" spans="1:14">
      <c r="D60" s="15"/>
      <c r="N60" s="15"/>
    </row>
    <row r="61" spans="1:14">
      <c r="D61" s="15"/>
      <c r="N61" s="15"/>
    </row>
    <row r="62" spans="1:14">
      <c r="D62" s="15"/>
      <c r="N62" s="15"/>
    </row>
    <row r="63" spans="1:14">
      <c r="D63" s="15"/>
      <c r="N63" s="15"/>
    </row>
    <row r="64" spans="1:14">
      <c r="D64" s="15"/>
      <c r="N64" s="15"/>
    </row>
    <row r="65" spans="4:14">
      <c r="D65" s="15"/>
      <c r="N65" s="15"/>
    </row>
    <row r="66" spans="4:14">
      <c r="D66" s="15"/>
      <c r="N66" s="15"/>
    </row>
    <row r="67" spans="4:14">
      <c r="D67" s="15"/>
      <c r="N67" s="15"/>
    </row>
    <row r="68" spans="4:14">
      <c r="D68" s="15"/>
      <c r="N68" s="15"/>
    </row>
    <row r="69" spans="4:14">
      <c r="D69" s="15"/>
      <c r="N69" s="15"/>
    </row>
    <row r="70" spans="4:14">
      <c r="D70" s="15"/>
      <c r="N70" s="15"/>
    </row>
    <row r="71" spans="4:14">
      <c r="D71" s="15"/>
      <c r="N71" s="15"/>
    </row>
    <row r="72" spans="4:14">
      <c r="D72" s="15"/>
      <c r="N72" s="15"/>
    </row>
    <row r="73" spans="4:14">
      <c r="D73" s="15"/>
      <c r="N73" s="15"/>
    </row>
    <row r="74" spans="4:14">
      <c r="D74" s="15"/>
      <c r="N74" s="15"/>
    </row>
    <row r="75" spans="4:14">
      <c r="D75" s="15"/>
      <c r="N75" s="15"/>
    </row>
    <row r="76" spans="4:14">
      <c r="D76" s="15"/>
      <c r="N76" s="15"/>
    </row>
    <row r="77" spans="4:14">
      <c r="D77" s="15"/>
      <c r="N77" s="15"/>
    </row>
    <row r="81" spans="1:21" ht="29.1" customHeight="1">
      <c r="A81" s="11" t="s">
        <v>38</v>
      </c>
      <c r="B81" s="11"/>
      <c r="C81" s="11"/>
      <c r="D81" s="11"/>
      <c r="E81" s="11"/>
      <c r="F81" s="11"/>
      <c r="G81" s="11"/>
      <c r="H81" s="11"/>
      <c r="I81" s="11"/>
      <c r="J81" s="11"/>
      <c r="K81" s="11"/>
      <c r="L81" s="11"/>
      <c r="M81" s="11"/>
      <c r="N81" s="11"/>
      <c r="O81" s="11"/>
      <c r="P81" s="11"/>
      <c r="Q81" s="11"/>
      <c r="R81" s="11"/>
      <c r="S81" s="11"/>
      <c r="T81" s="11"/>
      <c r="U81" s="11"/>
    </row>
    <row r="83" spans="1:21" ht="23.1" customHeight="1">
      <c r="A83" s="16" t="s">
        <v>39</v>
      </c>
      <c r="B83" s="16"/>
      <c r="C83" s="16"/>
      <c r="D83" s="16"/>
      <c r="E83" s="16"/>
      <c r="F83" s="16"/>
      <c r="G83" s="16"/>
      <c r="H83" s="16"/>
      <c r="I83" s="16"/>
      <c r="J83" s="16"/>
      <c r="K83" s="16"/>
      <c r="L83" s="16"/>
      <c r="M83" s="16"/>
      <c r="N83" s="16"/>
      <c r="O83" s="16"/>
      <c r="P83" s="16"/>
      <c r="Q83" s="16"/>
      <c r="R83" s="16"/>
      <c r="S83" s="16"/>
      <c r="T83" s="16"/>
      <c r="U83" s="16"/>
    </row>
    <row r="84" spans="1:21" ht="23.1" customHeight="1">
      <c r="A84" s="17" t="s">
        <v>40</v>
      </c>
      <c r="B84" s="17"/>
      <c r="C84" s="17"/>
      <c r="D84" s="17"/>
      <c r="E84" s="17"/>
      <c r="F84" s="17"/>
      <c r="G84" s="17"/>
      <c r="H84" s="17"/>
      <c r="I84" s="17"/>
      <c r="J84" s="17"/>
      <c r="K84" s="17"/>
      <c r="L84" s="17"/>
      <c r="M84" s="17"/>
      <c r="N84" s="17"/>
      <c r="O84" s="17"/>
      <c r="P84" s="17"/>
      <c r="Q84" s="17"/>
      <c r="R84" s="17"/>
      <c r="S84" s="17"/>
      <c r="T84" s="17"/>
      <c r="U84" s="17"/>
    </row>
    <row r="85" spans="1:21" ht="23.1" customHeight="1">
      <c r="A85" s="17" t="s">
        <v>41</v>
      </c>
      <c r="B85" s="17"/>
      <c r="C85" s="17"/>
      <c r="D85" s="17"/>
      <c r="E85" s="17"/>
      <c r="F85" s="17"/>
      <c r="G85" s="17"/>
      <c r="H85" s="17"/>
      <c r="I85" s="17"/>
      <c r="J85" s="17"/>
      <c r="K85" s="17"/>
      <c r="L85" s="17"/>
      <c r="M85" s="17"/>
      <c r="N85" s="17"/>
      <c r="O85" s="17"/>
      <c r="P85" s="17"/>
      <c r="Q85" s="17"/>
      <c r="R85" s="17"/>
      <c r="S85" s="17"/>
      <c r="T85" s="17"/>
      <c r="U85" s="17"/>
    </row>
    <row r="86" spans="1:21" ht="23.1" customHeight="1">
      <c r="A86" s="17" t="s">
        <v>42</v>
      </c>
      <c r="B86" s="17"/>
      <c r="C86" s="17"/>
      <c r="D86" s="17"/>
      <c r="E86" s="17"/>
      <c r="F86" s="17"/>
      <c r="G86" s="17"/>
      <c r="H86" s="17"/>
      <c r="I86" s="17"/>
      <c r="J86" s="17"/>
      <c r="K86" s="17"/>
      <c r="L86" s="17"/>
      <c r="M86" s="17"/>
      <c r="N86" s="17"/>
      <c r="O86" s="17"/>
      <c r="P86" s="17"/>
      <c r="Q86" s="17"/>
      <c r="R86" s="17"/>
      <c r="S86" s="17"/>
      <c r="T86" s="17"/>
      <c r="U86" s="17"/>
    </row>
    <row r="87" spans="1:21" ht="23.1" customHeight="1">
      <c r="A87" s="17" t="s">
        <v>43</v>
      </c>
      <c r="B87" s="17"/>
      <c r="C87" s="17"/>
      <c r="D87" s="17"/>
      <c r="E87" s="17"/>
      <c r="F87" s="17"/>
      <c r="G87" s="17"/>
      <c r="H87" s="17"/>
      <c r="I87" s="17"/>
      <c r="J87" s="17"/>
      <c r="K87" s="17"/>
      <c r="L87" s="17"/>
      <c r="M87" s="17"/>
      <c r="N87" s="17"/>
      <c r="O87" s="17"/>
      <c r="P87" s="17"/>
      <c r="Q87" s="17"/>
      <c r="R87" s="17"/>
      <c r="S87" s="17"/>
      <c r="T87" s="17"/>
      <c r="U87" s="17"/>
    </row>
    <row r="88" spans="1:21" ht="23.1" customHeight="1">
      <c r="A88" s="17" t="s">
        <v>44</v>
      </c>
      <c r="B88" s="17"/>
      <c r="C88" s="17"/>
      <c r="D88" s="17"/>
      <c r="E88" s="17"/>
      <c r="F88" s="17"/>
      <c r="G88" s="17"/>
      <c r="H88" s="17"/>
      <c r="I88" s="17"/>
      <c r="J88" s="17"/>
      <c r="K88" s="17"/>
      <c r="L88" s="17"/>
      <c r="M88" s="17"/>
      <c r="N88" s="17"/>
      <c r="O88" s="17"/>
      <c r="P88" s="17"/>
      <c r="Q88" s="17"/>
      <c r="R88" s="17"/>
      <c r="S88" s="17"/>
      <c r="T88" s="17"/>
      <c r="U88" s="17"/>
    </row>
    <row r="89" spans="1:21" ht="23.1" customHeight="1">
      <c r="A89" s="17" t="s">
        <v>45</v>
      </c>
      <c r="B89" s="17"/>
      <c r="C89" s="17"/>
      <c r="D89" s="17"/>
      <c r="E89" s="17"/>
      <c r="F89" s="17"/>
      <c r="G89" s="17"/>
      <c r="H89" s="17"/>
      <c r="I89" s="17"/>
      <c r="J89" s="17"/>
      <c r="K89" s="17"/>
      <c r="L89" s="17"/>
      <c r="M89" s="17"/>
      <c r="N89" s="17"/>
      <c r="O89" s="17"/>
      <c r="P89" s="17"/>
      <c r="Q89" s="17"/>
      <c r="R89" s="17"/>
      <c r="S89" s="17"/>
      <c r="T89" s="17"/>
      <c r="U89" s="17"/>
    </row>
    <row r="90" spans="1:21" ht="23.1" customHeight="1">
      <c r="A90" s="17" t="s">
        <v>46</v>
      </c>
      <c r="B90" s="17"/>
      <c r="C90" s="17"/>
      <c r="D90" s="17"/>
      <c r="E90" s="17"/>
      <c r="F90" s="17"/>
      <c r="G90" s="17"/>
      <c r="H90" s="17"/>
      <c r="I90" s="17"/>
      <c r="J90" s="17"/>
      <c r="K90" s="17"/>
      <c r="L90" s="17"/>
      <c r="M90" s="17"/>
      <c r="N90" s="17"/>
      <c r="O90" s="17"/>
      <c r="P90" s="17"/>
      <c r="Q90" s="17"/>
      <c r="R90" s="17"/>
      <c r="S90" s="17"/>
      <c r="T90" s="17"/>
      <c r="U90" s="1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0"/>
  <sheetViews>
    <sheetView workbookViewId="0">
      <pane ySplit="5" topLeftCell="A19" activePane="bottomLeft" state="frozen"/>
      <selection pane="bottomLeft" activeCell="B4" sqref="B4"/>
    </sheetView>
  </sheetViews>
  <sheetFormatPr defaultRowHeight="14.25"/>
  <cols>
    <col min="1" max="1" width="18" customWidth="1"/>
    <col min="2" max="2" width="34" customWidth="1"/>
    <col min="3" max="3" width="41" customWidth="1"/>
    <col min="4" max="4" width="21" customWidth="1"/>
    <col min="5" max="5" width="23" customWidth="1"/>
    <col min="6" max="6" width="50" customWidth="1"/>
    <col min="7" max="7" width="15" hidden="1" customWidth="1"/>
    <col min="8" max="8" width="21" hidden="1" customWidth="1"/>
  </cols>
  <sheetData>
    <row r="1" spans="1:8" ht="45" customHeight="1">
      <c r="A1" s="7" t="s">
        <v>47</v>
      </c>
      <c r="B1" s="7"/>
      <c r="C1" s="7"/>
      <c r="D1" s="7"/>
      <c r="E1" s="7"/>
      <c r="F1" s="7"/>
      <c r="G1" s="7"/>
      <c r="H1" s="32" t="s">
        <v>129</v>
      </c>
    </row>
    <row r="2" spans="1:8" ht="29.1" customHeight="1">
      <c r="A2" s="8" t="s">
        <v>130</v>
      </c>
      <c r="B2" s="8"/>
      <c r="C2" s="8"/>
      <c r="D2" s="8"/>
      <c r="E2" s="8"/>
      <c r="F2" s="8"/>
      <c r="G2" s="8"/>
      <c r="H2" s="33"/>
    </row>
    <row r="3" spans="1:8">
      <c r="A3" t="s">
        <v>10</v>
      </c>
      <c r="B3" s="35">
        <f ca="1">TODAY()-WEEKDAY(TODAY(),2)+1</f>
        <v>46300</v>
      </c>
      <c r="D3" t="s">
        <v>131</v>
      </c>
      <c r="E3">
        <f ca="1">COUNTIFS('Job Applications'!$K$2:$K$1001,$B$3,'Job Applications'!$B$2:$B$1001,"&lt;&gt;")</f>
        <v>2</v>
      </c>
      <c r="H3" s="34"/>
    </row>
    <row r="4" spans="1:8">
      <c r="H4" s="34"/>
    </row>
    <row r="5" spans="1:8" ht="30" customHeight="1">
      <c r="A5" s="1" t="s">
        <v>0</v>
      </c>
      <c r="B5" s="1" t="s">
        <v>1</v>
      </c>
      <c r="C5" s="1" t="s">
        <v>2</v>
      </c>
      <c r="D5" s="1" t="s">
        <v>4</v>
      </c>
      <c r="E5" s="1" t="s">
        <v>6</v>
      </c>
      <c r="F5" s="1" t="s">
        <v>132</v>
      </c>
      <c r="H5" s="34"/>
    </row>
    <row r="6" spans="1:8" ht="21.95" customHeight="1">
      <c r="A6" s="30">
        <f ca="1">IF($H6="","",IF(INDEX('Job Applications'!$A$2:$A$1001,$H6)="","",INDEX('Job Applications'!$A$2:$A$1001,$H6)))</f>
        <v>46300</v>
      </c>
      <c r="B6" t="str">
        <f ca="1">IF($H6="","",IF(INDEX('Job Applications'!$B$2:$B$1001,$H6)="","",INDEX('Job Applications'!$B$2:$B$1001,$H6)))</f>
        <v>Example Company ABC</v>
      </c>
      <c r="C6" t="str">
        <f ca="1">IF($H6="","",IF(INDEX('Job Applications'!$C$2:$C$1001,$H6)="","",INDEX('Job Applications'!$C$2:$C$1001,$H6)))</f>
        <v>Example Job Title 1</v>
      </c>
      <c r="D6" t="str">
        <f ca="1">IF($H6="","",IF(INDEX('Job Applications'!$E$2:$E$1001,$H6)="","",INDEX('Job Applications'!$E$2:$E$1001,$H6)))</f>
        <v>Other</v>
      </c>
      <c r="E6" t="str">
        <f ca="1">IF($H6="","",IF(INDEX('Job Applications'!$G$2:$G$1001,$H6)="","",INDEX('Job Applications'!$G$2:$G$1001,$H6)))</f>
        <v>Rejected</v>
      </c>
      <c r="F6" t="str">
        <f ca="1">IF($H6="","",IF(INDEX('Job Applications'!$J$2:$J$1001,$H6)="","",INDEX('Job Applications'!$J$2:$J$1001,$H6)))</f>
        <v/>
      </c>
      <c r="H6" s="34">
        <f ca="1">IFERROR(_xlfn.AGGREGATE(15,6,(ROW('Job Applications'!$K$2:$K$1001)-ROW('Job Applications'!$K$2)+1)/(('Job Applications'!$K$2:$K$1001=$B$3)*('Job Applications'!$B$2:$B$1001&lt;&gt;"")),ROWS($H$6:H6)),"")</f>
        <v>1</v>
      </c>
    </row>
    <row r="7" spans="1:8" ht="21.95" customHeight="1">
      <c r="A7" s="30">
        <f ca="1">IF($H7="","",IF(INDEX('Job Applications'!$A$2:$A$1001,$H7)="","",INDEX('Job Applications'!$A$2:$A$1001,$H7)))</f>
        <v>46301</v>
      </c>
      <c r="B7" t="str">
        <f ca="1">IF($H7="","",IF(INDEX('Job Applications'!$B$2:$B$1001,$H7)="","",INDEX('Job Applications'!$B$2:$B$1001,$H7)))</f>
        <v>Example Company XYZ</v>
      </c>
      <c r="C7" t="str">
        <f ca="1">IF($H7="","",IF(INDEX('Job Applications'!$C$2:$C$1001,$H7)="","",INDEX('Job Applications'!$C$2:$C$1001,$H7)))</f>
        <v>Example Job Title 2</v>
      </c>
      <c r="D7" t="str">
        <f ca="1">IF($H7="","",IF(INDEX('Job Applications'!$E$2:$E$1001,$H7)="","",INDEX('Job Applications'!$E$2:$E$1001,$H7)))</f>
        <v>Networking</v>
      </c>
      <c r="E7" t="str">
        <f ca="1">IF($H7="","",IF(INDEX('Job Applications'!$G$2:$G$1001,$H7)="","",INDEX('Job Applications'!$G$2:$G$1001,$H7)))</f>
        <v>Interview</v>
      </c>
      <c r="F7" t="str">
        <f ca="1">IF($H7="","",IF(INDEX('Job Applications'!$J$2:$J$1001,$H7)="","",INDEX('Job Applications'!$J$2:$J$1001,$H7)))</f>
        <v/>
      </c>
      <c r="H7" s="34">
        <f ca="1">IFERROR(_xlfn.AGGREGATE(15,6,(ROW('Job Applications'!$K$2:$K$1001)-ROW('Job Applications'!$K$2)+1)/(('Job Applications'!$K$2:$K$1001=$B$3)*('Job Applications'!$B$2:$B$1001&lt;&gt;"")),ROWS($H$6:H7)),"")</f>
        <v>2</v>
      </c>
    </row>
    <row r="8" spans="1:8" ht="21.95" customHeight="1">
      <c r="A8" s="30" t="str">
        <f ca="1">IF($H8="","",IF(INDEX('Job Applications'!$A$2:$A$1001,$H8)="","",INDEX('Job Applications'!$A$2:$A$1001,$H8)))</f>
        <v/>
      </c>
      <c r="B8" t="str">
        <f ca="1">IF($H8="","",IF(INDEX('Job Applications'!$B$2:$B$1001,$H8)="","",INDEX('Job Applications'!$B$2:$B$1001,$H8)))</f>
        <v/>
      </c>
      <c r="C8" t="str">
        <f ca="1">IF($H8="","",IF(INDEX('Job Applications'!$C$2:$C$1001,$H8)="","",INDEX('Job Applications'!$C$2:$C$1001,$H8)))</f>
        <v/>
      </c>
      <c r="D8" t="str">
        <f ca="1">IF($H8="","",IF(INDEX('Job Applications'!$E$2:$E$1001,$H8)="","",INDEX('Job Applications'!$E$2:$E$1001,$H8)))</f>
        <v/>
      </c>
      <c r="E8" t="str">
        <f ca="1">IF($H8="","",IF(INDEX('Job Applications'!$G$2:$G$1001,$H8)="","",INDEX('Job Applications'!$G$2:$G$1001,$H8)))</f>
        <v/>
      </c>
      <c r="F8" t="str">
        <f ca="1">IF($H8="","",IF(INDEX('Job Applications'!$J$2:$J$1001,$H8)="","",INDEX('Job Applications'!$J$2:$J$1001,$H8)))</f>
        <v/>
      </c>
      <c r="H8" s="34" t="str">
        <f ca="1">IFERROR(_xlfn.AGGREGATE(15,6,(ROW('Job Applications'!$K$2:$K$1001)-ROW('Job Applications'!$K$2)+1)/(('Job Applications'!$K$2:$K$1001=$B$3)*('Job Applications'!$B$2:$B$1001&lt;&gt;"")),ROWS($H$6:H8)),"")</f>
        <v/>
      </c>
    </row>
    <row r="9" spans="1:8" ht="21.95" customHeight="1">
      <c r="A9" s="30" t="str">
        <f ca="1">IF($H9="","",IF(INDEX('Job Applications'!$A$2:$A$1001,$H9)="","",INDEX('Job Applications'!$A$2:$A$1001,$H9)))</f>
        <v/>
      </c>
      <c r="B9" t="str">
        <f ca="1">IF($H9="","",IF(INDEX('Job Applications'!$B$2:$B$1001,$H9)="","",INDEX('Job Applications'!$B$2:$B$1001,$H9)))</f>
        <v/>
      </c>
      <c r="C9" t="str">
        <f ca="1">IF($H9="","",IF(INDEX('Job Applications'!$C$2:$C$1001,$H9)="","",INDEX('Job Applications'!$C$2:$C$1001,$H9)))</f>
        <v/>
      </c>
      <c r="D9" t="str">
        <f ca="1">IF($H9="","",IF(INDEX('Job Applications'!$E$2:$E$1001,$H9)="","",INDEX('Job Applications'!$E$2:$E$1001,$H9)))</f>
        <v/>
      </c>
      <c r="E9" t="str">
        <f ca="1">IF($H9="","",IF(INDEX('Job Applications'!$G$2:$G$1001,$H9)="","",INDEX('Job Applications'!$G$2:$G$1001,$H9)))</f>
        <v/>
      </c>
      <c r="F9" t="str">
        <f ca="1">IF($H9="","",IF(INDEX('Job Applications'!$J$2:$J$1001,$H9)="","",INDEX('Job Applications'!$J$2:$J$1001,$H9)))</f>
        <v/>
      </c>
      <c r="H9" s="34" t="str">
        <f ca="1">IFERROR(_xlfn.AGGREGATE(15,6,(ROW('Job Applications'!$K$2:$K$1001)-ROW('Job Applications'!$K$2)+1)/(('Job Applications'!$K$2:$K$1001=$B$3)*('Job Applications'!$B$2:$B$1001&lt;&gt;"")),ROWS($H$6:H9)),"")</f>
        <v/>
      </c>
    </row>
    <row r="10" spans="1:8" ht="21.95" customHeight="1">
      <c r="A10" s="30" t="str">
        <f ca="1">IF($H10="","",IF(INDEX('Job Applications'!$A$2:$A$1001,$H10)="","",INDEX('Job Applications'!$A$2:$A$1001,$H10)))</f>
        <v/>
      </c>
      <c r="B10" t="str">
        <f ca="1">IF($H10="","",IF(INDEX('Job Applications'!$B$2:$B$1001,$H10)="","",INDEX('Job Applications'!$B$2:$B$1001,$H10)))</f>
        <v/>
      </c>
      <c r="C10" t="str">
        <f ca="1">IF($H10="","",IF(INDEX('Job Applications'!$C$2:$C$1001,$H10)="","",INDEX('Job Applications'!$C$2:$C$1001,$H10)))</f>
        <v/>
      </c>
      <c r="D10" t="str">
        <f ca="1">IF($H10="","",IF(INDEX('Job Applications'!$E$2:$E$1001,$H10)="","",INDEX('Job Applications'!$E$2:$E$1001,$H10)))</f>
        <v/>
      </c>
      <c r="E10" t="str">
        <f ca="1">IF($H10="","",IF(INDEX('Job Applications'!$G$2:$G$1001,$H10)="","",INDEX('Job Applications'!$G$2:$G$1001,$H10)))</f>
        <v/>
      </c>
      <c r="F10" t="str">
        <f ca="1">IF($H10="","",IF(INDEX('Job Applications'!$J$2:$J$1001,$H10)="","",INDEX('Job Applications'!$J$2:$J$1001,$H10)))</f>
        <v/>
      </c>
      <c r="H10" s="34" t="str">
        <f ca="1">IFERROR(_xlfn.AGGREGATE(15,6,(ROW('Job Applications'!$K$2:$K$1001)-ROW('Job Applications'!$K$2)+1)/(('Job Applications'!$K$2:$K$1001=$B$3)*('Job Applications'!$B$2:$B$1001&lt;&gt;"")),ROWS($H$6:H10)),"")</f>
        <v/>
      </c>
    </row>
    <row r="11" spans="1:8" ht="21.95" customHeight="1">
      <c r="A11" s="30" t="str">
        <f ca="1">IF($H11="","",IF(INDEX('Job Applications'!$A$2:$A$1001,$H11)="","",INDEX('Job Applications'!$A$2:$A$1001,$H11)))</f>
        <v/>
      </c>
      <c r="B11" t="str">
        <f ca="1">IF($H11="","",IF(INDEX('Job Applications'!$B$2:$B$1001,$H11)="","",INDEX('Job Applications'!$B$2:$B$1001,$H11)))</f>
        <v/>
      </c>
      <c r="C11" t="str">
        <f ca="1">IF($H11="","",IF(INDEX('Job Applications'!$C$2:$C$1001,$H11)="","",INDEX('Job Applications'!$C$2:$C$1001,$H11)))</f>
        <v/>
      </c>
      <c r="D11" t="str">
        <f ca="1">IF($H11="","",IF(INDEX('Job Applications'!$E$2:$E$1001,$H11)="","",INDEX('Job Applications'!$E$2:$E$1001,$H11)))</f>
        <v/>
      </c>
      <c r="E11" t="str">
        <f ca="1">IF($H11="","",IF(INDEX('Job Applications'!$G$2:$G$1001,$H11)="","",INDEX('Job Applications'!$G$2:$G$1001,$H11)))</f>
        <v/>
      </c>
      <c r="F11" t="str">
        <f ca="1">IF($H11="","",IF(INDEX('Job Applications'!$J$2:$J$1001,$H11)="","",INDEX('Job Applications'!$J$2:$J$1001,$H11)))</f>
        <v/>
      </c>
      <c r="H11" s="34" t="str">
        <f ca="1">IFERROR(_xlfn.AGGREGATE(15,6,(ROW('Job Applications'!$K$2:$K$1001)-ROW('Job Applications'!$K$2)+1)/(('Job Applications'!$K$2:$K$1001=$B$3)*('Job Applications'!$B$2:$B$1001&lt;&gt;"")),ROWS($H$6:H11)),"")</f>
        <v/>
      </c>
    </row>
    <row r="12" spans="1:8" ht="21.95" customHeight="1">
      <c r="A12" s="30" t="str">
        <f ca="1">IF($H12="","",IF(INDEX('Job Applications'!$A$2:$A$1001,$H12)="","",INDEX('Job Applications'!$A$2:$A$1001,$H12)))</f>
        <v/>
      </c>
      <c r="B12" t="str">
        <f ca="1">IF($H12="","",IF(INDEX('Job Applications'!$B$2:$B$1001,$H12)="","",INDEX('Job Applications'!$B$2:$B$1001,$H12)))</f>
        <v/>
      </c>
      <c r="C12" t="str">
        <f ca="1">IF($H12="","",IF(INDEX('Job Applications'!$C$2:$C$1001,$H12)="","",INDEX('Job Applications'!$C$2:$C$1001,$H12)))</f>
        <v/>
      </c>
      <c r="D12" t="str">
        <f ca="1">IF($H12="","",IF(INDEX('Job Applications'!$E$2:$E$1001,$H12)="","",INDEX('Job Applications'!$E$2:$E$1001,$H12)))</f>
        <v/>
      </c>
      <c r="E12" t="str">
        <f ca="1">IF($H12="","",IF(INDEX('Job Applications'!$G$2:$G$1001,$H12)="","",INDEX('Job Applications'!$G$2:$G$1001,$H12)))</f>
        <v/>
      </c>
      <c r="F12" t="str">
        <f ca="1">IF($H12="","",IF(INDEX('Job Applications'!$J$2:$J$1001,$H12)="","",INDEX('Job Applications'!$J$2:$J$1001,$H12)))</f>
        <v/>
      </c>
      <c r="H12" s="34" t="str">
        <f ca="1">IFERROR(_xlfn.AGGREGATE(15,6,(ROW('Job Applications'!$K$2:$K$1001)-ROW('Job Applications'!$K$2)+1)/(('Job Applications'!$K$2:$K$1001=$B$3)*('Job Applications'!$B$2:$B$1001&lt;&gt;"")),ROWS($H$6:H12)),"")</f>
        <v/>
      </c>
    </row>
    <row r="13" spans="1:8" ht="21.95" customHeight="1">
      <c r="A13" s="30" t="str">
        <f ca="1">IF($H13="","",IF(INDEX('Job Applications'!$A$2:$A$1001,$H13)="","",INDEX('Job Applications'!$A$2:$A$1001,$H13)))</f>
        <v/>
      </c>
      <c r="B13" t="str">
        <f ca="1">IF($H13="","",IF(INDEX('Job Applications'!$B$2:$B$1001,$H13)="","",INDEX('Job Applications'!$B$2:$B$1001,$H13)))</f>
        <v/>
      </c>
      <c r="C13" t="str">
        <f ca="1">IF($H13="","",IF(INDEX('Job Applications'!$C$2:$C$1001,$H13)="","",INDEX('Job Applications'!$C$2:$C$1001,$H13)))</f>
        <v/>
      </c>
      <c r="D13" t="str">
        <f ca="1">IF($H13="","",IF(INDEX('Job Applications'!$E$2:$E$1001,$H13)="","",INDEX('Job Applications'!$E$2:$E$1001,$H13)))</f>
        <v/>
      </c>
      <c r="E13" t="str">
        <f ca="1">IF($H13="","",IF(INDEX('Job Applications'!$G$2:$G$1001,$H13)="","",INDEX('Job Applications'!$G$2:$G$1001,$H13)))</f>
        <v/>
      </c>
      <c r="F13" t="str">
        <f ca="1">IF($H13="","",IF(INDEX('Job Applications'!$J$2:$J$1001,$H13)="","",INDEX('Job Applications'!$J$2:$J$1001,$H13)))</f>
        <v/>
      </c>
      <c r="H13" s="34" t="str">
        <f ca="1">IFERROR(_xlfn.AGGREGATE(15,6,(ROW('Job Applications'!$K$2:$K$1001)-ROW('Job Applications'!$K$2)+1)/(('Job Applications'!$K$2:$K$1001=$B$3)*('Job Applications'!$B$2:$B$1001&lt;&gt;"")),ROWS($H$6:H13)),"")</f>
        <v/>
      </c>
    </row>
    <row r="14" spans="1:8" ht="21.95" customHeight="1">
      <c r="A14" s="30" t="str">
        <f ca="1">IF($H14="","",IF(INDEX('Job Applications'!$A$2:$A$1001,$H14)="","",INDEX('Job Applications'!$A$2:$A$1001,$H14)))</f>
        <v/>
      </c>
      <c r="B14" t="str">
        <f ca="1">IF($H14="","",IF(INDEX('Job Applications'!$B$2:$B$1001,$H14)="","",INDEX('Job Applications'!$B$2:$B$1001,$H14)))</f>
        <v/>
      </c>
      <c r="C14" t="str">
        <f ca="1">IF($H14="","",IF(INDEX('Job Applications'!$C$2:$C$1001,$H14)="","",INDEX('Job Applications'!$C$2:$C$1001,$H14)))</f>
        <v/>
      </c>
      <c r="D14" t="str">
        <f ca="1">IF($H14="","",IF(INDEX('Job Applications'!$E$2:$E$1001,$H14)="","",INDEX('Job Applications'!$E$2:$E$1001,$H14)))</f>
        <v/>
      </c>
      <c r="E14" t="str">
        <f ca="1">IF($H14="","",IF(INDEX('Job Applications'!$G$2:$G$1001,$H14)="","",INDEX('Job Applications'!$G$2:$G$1001,$H14)))</f>
        <v/>
      </c>
      <c r="F14" t="str">
        <f ca="1">IF($H14="","",IF(INDEX('Job Applications'!$J$2:$J$1001,$H14)="","",INDEX('Job Applications'!$J$2:$J$1001,$H14)))</f>
        <v/>
      </c>
      <c r="H14" s="34" t="str">
        <f ca="1">IFERROR(_xlfn.AGGREGATE(15,6,(ROW('Job Applications'!$K$2:$K$1001)-ROW('Job Applications'!$K$2)+1)/(('Job Applications'!$K$2:$K$1001=$B$3)*('Job Applications'!$B$2:$B$1001&lt;&gt;"")),ROWS($H$6:H14)),"")</f>
        <v/>
      </c>
    </row>
    <row r="15" spans="1:8" ht="21.95" customHeight="1">
      <c r="A15" s="30" t="str">
        <f ca="1">IF($H15="","",IF(INDEX('Job Applications'!$A$2:$A$1001,$H15)="","",INDEX('Job Applications'!$A$2:$A$1001,$H15)))</f>
        <v/>
      </c>
      <c r="B15" t="str">
        <f ca="1">IF($H15="","",IF(INDEX('Job Applications'!$B$2:$B$1001,$H15)="","",INDEX('Job Applications'!$B$2:$B$1001,$H15)))</f>
        <v/>
      </c>
      <c r="C15" t="str">
        <f ca="1">IF($H15="","",IF(INDEX('Job Applications'!$C$2:$C$1001,$H15)="","",INDEX('Job Applications'!$C$2:$C$1001,$H15)))</f>
        <v/>
      </c>
      <c r="D15" t="str">
        <f ca="1">IF($H15="","",IF(INDEX('Job Applications'!$E$2:$E$1001,$H15)="","",INDEX('Job Applications'!$E$2:$E$1001,$H15)))</f>
        <v/>
      </c>
      <c r="E15" t="str">
        <f ca="1">IF($H15="","",IF(INDEX('Job Applications'!$G$2:$G$1001,$H15)="","",INDEX('Job Applications'!$G$2:$G$1001,$H15)))</f>
        <v/>
      </c>
      <c r="F15" t="str">
        <f ca="1">IF($H15="","",IF(INDEX('Job Applications'!$J$2:$J$1001,$H15)="","",INDEX('Job Applications'!$J$2:$J$1001,$H15)))</f>
        <v/>
      </c>
      <c r="H15" s="34" t="str">
        <f ca="1">IFERROR(_xlfn.AGGREGATE(15,6,(ROW('Job Applications'!$K$2:$K$1001)-ROW('Job Applications'!$K$2)+1)/(('Job Applications'!$K$2:$K$1001=$B$3)*('Job Applications'!$B$2:$B$1001&lt;&gt;"")),ROWS($H$6:H15)),"")</f>
        <v/>
      </c>
    </row>
    <row r="16" spans="1:8" ht="21.95" customHeight="1">
      <c r="A16" s="30" t="str">
        <f ca="1">IF($H16="","",IF(INDEX('Job Applications'!$A$2:$A$1001,$H16)="","",INDEX('Job Applications'!$A$2:$A$1001,$H16)))</f>
        <v/>
      </c>
      <c r="B16" t="str">
        <f ca="1">IF($H16="","",IF(INDEX('Job Applications'!$B$2:$B$1001,$H16)="","",INDEX('Job Applications'!$B$2:$B$1001,$H16)))</f>
        <v/>
      </c>
      <c r="C16" t="str">
        <f ca="1">IF($H16="","",IF(INDEX('Job Applications'!$C$2:$C$1001,$H16)="","",INDEX('Job Applications'!$C$2:$C$1001,$H16)))</f>
        <v/>
      </c>
      <c r="D16" t="str">
        <f ca="1">IF($H16="","",IF(INDEX('Job Applications'!$E$2:$E$1001,$H16)="","",INDEX('Job Applications'!$E$2:$E$1001,$H16)))</f>
        <v/>
      </c>
      <c r="E16" t="str">
        <f ca="1">IF($H16="","",IF(INDEX('Job Applications'!$G$2:$G$1001,$H16)="","",INDEX('Job Applications'!$G$2:$G$1001,$H16)))</f>
        <v/>
      </c>
      <c r="F16" t="str">
        <f ca="1">IF($H16="","",IF(INDEX('Job Applications'!$J$2:$J$1001,$H16)="","",INDEX('Job Applications'!$J$2:$J$1001,$H16)))</f>
        <v/>
      </c>
      <c r="H16" s="34" t="str">
        <f ca="1">IFERROR(_xlfn.AGGREGATE(15,6,(ROW('Job Applications'!$K$2:$K$1001)-ROW('Job Applications'!$K$2)+1)/(('Job Applications'!$K$2:$K$1001=$B$3)*('Job Applications'!$B$2:$B$1001&lt;&gt;"")),ROWS($H$6:H16)),"")</f>
        <v/>
      </c>
    </row>
    <row r="17" spans="1:8" ht="21.95" customHeight="1">
      <c r="A17" s="30" t="str">
        <f ca="1">IF($H17="","",IF(INDEX('Job Applications'!$A$2:$A$1001,$H17)="","",INDEX('Job Applications'!$A$2:$A$1001,$H17)))</f>
        <v/>
      </c>
      <c r="B17" t="str">
        <f ca="1">IF($H17="","",IF(INDEX('Job Applications'!$B$2:$B$1001,$H17)="","",INDEX('Job Applications'!$B$2:$B$1001,$H17)))</f>
        <v/>
      </c>
      <c r="C17" t="str">
        <f ca="1">IF($H17="","",IF(INDEX('Job Applications'!$C$2:$C$1001,$H17)="","",INDEX('Job Applications'!$C$2:$C$1001,$H17)))</f>
        <v/>
      </c>
      <c r="D17" t="str">
        <f ca="1">IF($H17="","",IF(INDEX('Job Applications'!$E$2:$E$1001,$H17)="","",INDEX('Job Applications'!$E$2:$E$1001,$H17)))</f>
        <v/>
      </c>
      <c r="E17" t="str">
        <f ca="1">IF($H17="","",IF(INDEX('Job Applications'!$G$2:$G$1001,$H17)="","",INDEX('Job Applications'!$G$2:$G$1001,$H17)))</f>
        <v/>
      </c>
      <c r="F17" t="str">
        <f ca="1">IF($H17="","",IF(INDEX('Job Applications'!$J$2:$J$1001,$H17)="","",INDEX('Job Applications'!$J$2:$J$1001,$H17)))</f>
        <v/>
      </c>
      <c r="H17" s="34" t="str">
        <f ca="1">IFERROR(_xlfn.AGGREGATE(15,6,(ROW('Job Applications'!$K$2:$K$1001)-ROW('Job Applications'!$K$2)+1)/(('Job Applications'!$K$2:$K$1001=$B$3)*('Job Applications'!$B$2:$B$1001&lt;&gt;"")),ROWS($H$6:H17)),"")</f>
        <v/>
      </c>
    </row>
    <row r="18" spans="1:8" ht="21.95" customHeight="1">
      <c r="A18" s="30" t="str">
        <f ca="1">IF($H18="","",IF(INDEX('Job Applications'!$A$2:$A$1001,$H18)="","",INDEX('Job Applications'!$A$2:$A$1001,$H18)))</f>
        <v/>
      </c>
      <c r="B18" t="str">
        <f ca="1">IF($H18="","",IF(INDEX('Job Applications'!$B$2:$B$1001,$H18)="","",INDEX('Job Applications'!$B$2:$B$1001,$H18)))</f>
        <v/>
      </c>
      <c r="C18" t="str">
        <f ca="1">IF($H18="","",IF(INDEX('Job Applications'!$C$2:$C$1001,$H18)="","",INDEX('Job Applications'!$C$2:$C$1001,$H18)))</f>
        <v/>
      </c>
      <c r="D18" t="str">
        <f ca="1">IF($H18="","",IF(INDEX('Job Applications'!$E$2:$E$1001,$H18)="","",INDEX('Job Applications'!$E$2:$E$1001,$H18)))</f>
        <v/>
      </c>
      <c r="E18" t="str">
        <f ca="1">IF($H18="","",IF(INDEX('Job Applications'!$G$2:$G$1001,$H18)="","",INDEX('Job Applications'!$G$2:$G$1001,$H18)))</f>
        <v/>
      </c>
      <c r="F18" t="str">
        <f ca="1">IF($H18="","",IF(INDEX('Job Applications'!$J$2:$J$1001,$H18)="","",INDEX('Job Applications'!$J$2:$J$1001,$H18)))</f>
        <v/>
      </c>
      <c r="H18" s="34" t="str">
        <f ca="1">IFERROR(_xlfn.AGGREGATE(15,6,(ROW('Job Applications'!$K$2:$K$1001)-ROW('Job Applications'!$K$2)+1)/(('Job Applications'!$K$2:$K$1001=$B$3)*('Job Applications'!$B$2:$B$1001&lt;&gt;"")),ROWS($H$6:H18)),"")</f>
        <v/>
      </c>
    </row>
    <row r="19" spans="1:8" ht="21.95" customHeight="1">
      <c r="A19" s="30" t="str">
        <f ca="1">IF($H19="","",IF(INDEX('Job Applications'!$A$2:$A$1001,$H19)="","",INDEX('Job Applications'!$A$2:$A$1001,$H19)))</f>
        <v/>
      </c>
      <c r="B19" t="str">
        <f ca="1">IF($H19="","",IF(INDEX('Job Applications'!$B$2:$B$1001,$H19)="","",INDEX('Job Applications'!$B$2:$B$1001,$H19)))</f>
        <v/>
      </c>
      <c r="C19" t="str">
        <f ca="1">IF($H19="","",IF(INDEX('Job Applications'!$C$2:$C$1001,$H19)="","",INDEX('Job Applications'!$C$2:$C$1001,$H19)))</f>
        <v/>
      </c>
      <c r="D19" t="str">
        <f ca="1">IF($H19="","",IF(INDEX('Job Applications'!$E$2:$E$1001,$H19)="","",INDEX('Job Applications'!$E$2:$E$1001,$H19)))</f>
        <v/>
      </c>
      <c r="E19" t="str">
        <f ca="1">IF($H19="","",IF(INDEX('Job Applications'!$G$2:$G$1001,$H19)="","",INDEX('Job Applications'!$G$2:$G$1001,$H19)))</f>
        <v/>
      </c>
      <c r="F19" t="str">
        <f ca="1">IF($H19="","",IF(INDEX('Job Applications'!$J$2:$J$1001,$H19)="","",INDEX('Job Applications'!$J$2:$J$1001,$H19)))</f>
        <v/>
      </c>
      <c r="H19" s="34" t="str">
        <f ca="1">IFERROR(_xlfn.AGGREGATE(15,6,(ROW('Job Applications'!$K$2:$K$1001)-ROW('Job Applications'!$K$2)+1)/(('Job Applications'!$K$2:$K$1001=$B$3)*('Job Applications'!$B$2:$B$1001&lt;&gt;"")),ROWS($H$6:H19)),"")</f>
        <v/>
      </c>
    </row>
    <row r="20" spans="1:8" ht="21.95" customHeight="1">
      <c r="A20" s="30" t="str">
        <f ca="1">IF($H20="","",IF(INDEX('Job Applications'!$A$2:$A$1001,$H20)="","",INDEX('Job Applications'!$A$2:$A$1001,$H20)))</f>
        <v/>
      </c>
      <c r="B20" t="str">
        <f ca="1">IF($H20="","",IF(INDEX('Job Applications'!$B$2:$B$1001,$H20)="","",INDEX('Job Applications'!$B$2:$B$1001,$H20)))</f>
        <v/>
      </c>
      <c r="C20" t="str">
        <f ca="1">IF($H20="","",IF(INDEX('Job Applications'!$C$2:$C$1001,$H20)="","",INDEX('Job Applications'!$C$2:$C$1001,$H20)))</f>
        <v/>
      </c>
      <c r="D20" t="str">
        <f ca="1">IF($H20="","",IF(INDEX('Job Applications'!$E$2:$E$1001,$H20)="","",INDEX('Job Applications'!$E$2:$E$1001,$H20)))</f>
        <v/>
      </c>
      <c r="E20" t="str">
        <f ca="1">IF($H20="","",IF(INDEX('Job Applications'!$G$2:$G$1001,$H20)="","",INDEX('Job Applications'!$G$2:$G$1001,$H20)))</f>
        <v/>
      </c>
      <c r="F20" t="str">
        <f ca="1">IF($H20="","",IF(INDEX('Job Applications'!$J$2:$J$1001,$H20)="","",INDEX('Job Applications'!$J$2:$J$1001,$H20)))</f>
        <v/>
      </c>
      <c r="H20" s="34" t="str">
        <f ca="1">IFERROR(_xlfn.AGGREGATE(15,6,(ROW('Job Applications'!$K$2:$K$1001)-ROW('Job Applications'!$K$2)+1)/(('Job Applications'!$K$2:$K$1001=$B$3)*('Job Applications'!$B$2:$B$1001&lt;&gt;"")),ROWS($H$6:H20)),"")</f>
        <v/>
      </c>
    </row>
    <row r="21" spans="1:8" ht="21.95" customHeight="1">
      <c r="A21" s="30" t="str">
        <f ca="1">IF($H21="","",IF(INDEX('Job Applications'!$A$2:$A$1001,$H21)="","",INDEX('Job Applications'!$A$2:$A$1001,$H21)))</f>
        <v/>
      </c>
      <c r="B21" t="str">
        <f ca="1">IF($H21="","",IF(INDEX('Job Applications'!$B$2:$B$1001,$H21)="","",INDEX('Job Applications'!$B$2:$B$1001,$H21)))</f>
        <v/>
      </c>
      <c r="C21" t="str">
        <f ca="1">IF($H21="","",IF(INDEX('Job Applications'!$C$2:$C$1001,$H21)="","",INDEX('Job Applications'!$C$2:$C$1001,$H21)))</f>
        <v/>
      </c>
      <c r="D21" t="str">
        <f ca="1">IF($H21="","",IF(INDEX('Job Applications'!$E$2:$E$1001,$H21)="","",INDEX('Job Applications'!$E$2:$E$1001,$H21)))</f>
        <v/>
      </c>
      <c r="E21" t="str">
        <f ca="1">IF($H21="","",IF(INDEX('Job Applications'!$G$2:$G$1001,$H21)="","",INDEX('Job Applications'!$G$2:$G$1001,$H21)))</f>
        <v/>
      </c>
      <c r="F21" t="str">
        <f ca="1">IF($H21="","",IF(INDEX('Job Applications'!$J$2:$J$1001,$H21)="","",INDEX('Job Applications'!$J$2:$J$1001,$H21)))</f>
        <v/>
      </c>
      <c r="H21" s="34" t="str">
        <f ca="1">IFERROR(_xlfn.AGGREGATE(15,6,(ROW('Job Applications'!$K$2:$K$1001)-ROW('Job Applications'!$K$2)+1)/(('Job Applications'!$K$2:$K$1001=$B$3)*('Job Applications'!$B$2:$B$1001&lt;&gt;"")),ROWS($H$6:H21)),"")</f>
        <v/>
      </c>
    </row>
    <row r="22" spans="1:8" ht="21.95" customHeight="1">
      <c r="A22" s="30" t="str">
        <f ca="1">IF($H22="","",IF(INDEX('Job Applications'!$A$2:$A$1001,$H22)="","",INDEX('Job Applications'!$A$2:$A$1001,$H22)))</f>
        <v/>
      </c>
      <c r="B22" t="str">
        <f ca="1">IF($H22="","",IF(INDEX('Job Applications'!$B$2:$B$1001,$H22)="","",INDEX('Job Applications'!$B$2:$B$1001,$H22)))</f>
        <v/>
      </c>
      <c r="C22" t="str">
        <f ca="1">IF($H22="","",IF(INDEX('Job Applications'!$C$2:$C$1001,$H22)="","",INDEX('Job Applications'!$C$2:$C$1001,$H22)))</f>
        <v/>
      </c>
      <c r="D22" t="str">
        <f ca="1">IF($H22="","",IF(INDEX('Job Applications'!$E$2:$E$1001,$H22)="","",INDEX('Job Applications'!$E$2:$E$1001,$H22)))</f>
        <v/>
      </c>
      <c r="E22" t="str">
        <f ca="1">IF($H22="","",IF(INDEX('Job Applications'!$G$2:$G$1001,$H22)="","",INDEX('Job Applications'!$G$2:$G$1001,$H22)))</f>
        <v/>
      </c>
      <c r="F22" t="str">
        <f ca="1">IF($H22="","",IF(INDEX('Job Applications'!$J$2:$J$1001,$H22)="","",INDEX('Job Applications'!$J$2:$J$1001,$H22)))</f>
        <v/>
      </c>
      <c r="H22" s="34" t="str">
        <f ca="1">IFERROR(_xlfn.AGGREGATE(15,6,(ROW('Job Applications'!$K$2:$K$1001)-ROW('Job Applications'!$K$2)+1)/(('Job Applications'!$K$2:$K$1001=$B$3)*('Job Applications'!$B$2:$B$1001&lt;&gt;"")),ROWS($H$6:H22)),"")</f>
        <v/>
      </c>
    </row>
    <row r="23" spans="1:8" ht="21.95" customHeight="1">
      <c r="A23" s="30" t="str">
        <f ca="1">IF($H23="","",IF(INDEX('Job Applications'!$A$2:$A$1001,$H23)="","",INDEX('Job Applications'!$A$2:$A$1001,$H23)))</f>
        <v/>
      </c>
      <c r="B23" t="str">
        <f ca="1">IF($H23="","",IF(INDEX('Job Applications'!$B$2:$B$1001,$H23)="","",INDEX('Job Applications'!$B$2:$B$1001,$H23)))</f>
        <v/>
      </c>
      <c r="C23" t="str">
        <f ca="1">IF($H23="","",IF(INDEX('Job Applications'!$C$2:$C$1001,$H23)="","",INDEX('Job Applications'!$C$2:$C$1001,$H23)))</f>
        <v/>
      </c>
      <c r="D23" t="str">
        <f ca="1">IF($H23="","",IF(INDEX('Job Applications'!$E$2:$E$1001,$H23)="","",INDEX('Job Applications'!$E$2:$E$1001,$H23)))</f>
        <v/>
      </c>
      <c r="E23" t="str">
        <f ca="1">IF($H23="","",IF(INDEX('Job Applications'!$G$2:$G$1001,$H23)="","",INDEX('Job Applications'!$G$2:$G$1001,$H23)))</f>
        <v/>
      </c>
      <c r="F23" t="str">
        <f ca="1">IF($H23="","",IF(INDEX('Job Applications'!$J$2:$J$1001,$H23)="","",INDEX('Job Applications'!$J$2:$J$1001,$H23)))</f>
        <v/>
      </c>
      <c r="H23" s="34" t="str">
        <f ca="1">IFERROR(_xlfn.AGGREGATE(15,6,(ROW('Job Applications'!$K$2:$K$1001)-ROW('Job Applications'!$K$2)+1)/(('Job Applications'!$K$2:$K$1001=$B$3)*('Job Applications'!$B$2:$B$1001&lt;&gt;"")),ROWS($H$6:H23)),"")</f>
        <v/>
      </c>
    </row>
    <row r="24" spans="1:8" ht="21.95" customHeight="1">
      <c r="A24" s="30" t="str">
        <f ca="1">IF($H24="","",IF(INDEX('Job Applications'!$A$2:$A$1001,$H24)="","",INDEX('Job Applications'!$A$2:$A$1001,$H24)))</f>
        <v/>
      </c>
      <c r="B24" t="str">
        <f ca="1">IF($H24="","",IF(INDEX('Job Applications'!$B$2:$B$1001,$H24)="","",INDEX('Job Applications'!$B$2:$B$1001,$H24)))</f>
        <v/>
      </c>
      <c r="C24" t="str">
        <f ca="1">IF($H24="","",IF(INDEX('Job Applications'!$C$2:$C$1001,$H24)="","",INDEX('Job Applications'!$C$2:$C$1001,$H24)))</f>
        <v/>
      </c>
      <c r="D24" t="str">
        <f ca="1">IF($H24="","",IF(INDEX('Job Applications'!$E$2:$E$1001,$H24)="","",INDEX('Job Applications'!$E$2:$E$1001,$H24)))</f>
        <v/>
      </c>
      <c r="E24" t="str">
        <f ca="1">IF($H24="","",IF(INDEX('Job Applications'!$G$2:$G$1001,$H24)="","",INDEX('Job Applications'!$G$2:$G$1001,$H24)))</f>
        <v/>
      </c>
      <c r="F24" t="str">
        <f ca="1">IF($H24="","",IF(INDEX('Job Applications'!$J$2:$J$1001,$H24)="","",INDEX('Job Applications'!$J$2:$J$1001,$H24)))</f>
        <v/>
      </c>
      <c r="H24" s="34" t="str">
        <f ca="1">IFERROR(_xlfn.AGGREGATE(15,6,(ROW('Job Applications'!$K$2:$K$1001)-ROW('Job Applications'!$K$2)+1)/(('Job Applications'!$K$2:$K$1001=$B$3)*('Job Applications'!$B$2:$B$1001&lt;&gt;"")),ROWS($H$6:H24)),"")</f>
        <v/>
      </c>
    </row>
    <row r="25" spans="1:8" ht="21.95" customHeight="1">
      <c r="A25" s="30" t="str">
        <f ca="1">IF($H25="","",IF(INDEX('Job Applications'!$A$2:$A$1001,$H25)="","",INDEX('Job Applications'!$A$2:$A$1001,$H25)))</f>
        <v/>
      </c>
      <c r="B25" t="str">
        <f ca="1">IF($H25="","",IF(INDEX('Job Applications'!$B$2:$B$1001,$H25)="","",INDEX('Job Applications'!$B$2:$B$1001,$H25)))</f>
        <v/>
      </c>
      <c r="C25" t="str">
        <f ca="1">IF($H25="","",IF(INDEX('Job Applications'!$C$2:$C$1001,$H25)="","",INDEX('Job Applications'!$C$2:$C$1001,$H25)))</f>
        <v/>
      </c>
      <c r="D25" t="str">
        <f ca="1">IF($H25="","",IF(INDEX('Job Applications'!$E$2:$E$1001,$H25)="","",INDEX('Job Applications'!$E$2:$E$1001,$H25)))</f>
        <v/>
      </c>
      <c r="E25" t="str">
        <f ca="1">IF($H25="","",IF(INDEX('Job Applications'!$G$2:$G$1001,$H25)="","",INDEX('Job Applications'!$G$2:$G$1001,$H25)))</f>
        <v/>
      </c>
      <c r="F25" t="str">
        <f ca="1">IF($H25="","",IF(INDEX('Job Applications'!$J$2:$J$1001,$H25)="","",INDEX('Job Applications'!$J$2:$J$1001,$H25)))</f>
        <v/>
      </c>
      <c r="H25" s="34" t="str">
        <f ca="1">IFERROR(_xlfn.AGGREGATE(15,6,(ROW('Job Applications'!$K$2:$K$1001)-ROW('Job Applications'!$K$2)+1)/(('Job Applications'!$K$2:$K$1001=$B$3)*('Job Applications'!$B$2:$B$1001&lt;&gt;"")),ROWS($H$6:H25)),"")</f>
        <v/>
      </c>
    </row>
    <row r="26" spans="1:8" ht="21.95" customHeight="1">
      <c r="A26" s="30" t="str">
        <f ca="1">IF($H26="","",IF(INDEX('Job Applications'!$A$2:$A$1001,$H26)="","",INDEX('Job Applications'!$A$2:$A$1001,$H26)))</f>
        <v/>
      </c>
      <c r="B26" t="str">
        <f ca="1">IF($H26="","",IF(INDEX('Job Applications'!$B$2:$B$1001,$H26)="","",INDEX('Job Applications'!$B$2:$B$1001,$H26)))</f>
        <v/>
      </c>
      <c r="C26" t="str">
        <f ca="1">IF($H26="","",IF(INDEX('Job Applications'!$C$2:$C$1001,$H26)="","",INDEX('Job Applications'!$C$2:$C$1001,$H26)))</f>
        <v/>
      </c>
      <c r="D26" t="str">
        <f ca="1">IF($H26="","",IF(INDEX('Job Applications'!$E$2:$E$1001,$H26)="","",INDEX('Job Applications'!$E$2:$E$1001,$H26)))</f>
        <v/>
      </c>
      <c r="E26" t="str">
        <f ca="1">IF($H26="","",IF(INDEX('Job Applications'!$G$2:$G$1001,$H26)="","",INDEX('Job Applications'!$G$2:$G$1001,$H26)))</f>
        <v/>
      </c>
      <c r="F26" t="str">
        <f ca="1">IF($H26="","",IF(INDEX('Job Applications'!$J$2:$J$1001,$H26)="","",INDEX('Job Applications'!$J$2:$J$1001,$H26)))</f>
        <v/>
      </c>
      <c r="H26" s="34" t="str">
        <f ca="1">IFERROR(_xlfn.AGGREGATE(15,6,(ROW('Job Applications'!$K$2:$K$1001)-ROW('Job Applications'!$K$2)+1)/(('Job Applications'!$K$2:$K$1001=$B$3)*('Job Applications'!$B$2:$B$1001&lt;&gt;"")),ROWS($H$6:H26)),"")</f>
        <v/>
      </c>
    </row>
    <row r="27" spans="1:8" ht="21.95" customHeight="1">
      <c r="A27" s="30" t="str">
        <f ca="1">IF($H27="","",IF(INDEX('Job Applications'!$A$2:$A$1001,$H27)="","",INDEX('Job Applications'!$A$2:$A$1001,$H27)))</f>
        <v/>
      </c>
      <c r="B27" t="str">
        <f ca="1">IF($H27="","",IF(INDEX('Job Applications'!$B$2:$B$1001,$H27)="","",INDEX('Job Applications'!$B$2:$B$1001,$H27)))</f>
        <v/>
      </c>
      <c r="C27" t="str">
        <f ca="1">IF($H27="","",IF(INDEX('Job Applications'!$C$2:$C$1001,$H27)="","",INDEX('Job Applications'!$C$2:$C$1001,$H27)))</f>
        <v/>
      </c>
      <c r="D27" t="str">
        <f ca="1">IF($H27="","",IF(INDEX('Job Applications'!$E$2:$E$1001,$H27)="","",INDEX('Job Applications'!$E$2:$E$1001,$H27)))</f>
        <v/>
      </c>
      <c r="E27" t="str">
        <f ca="1">IF($H27="","",IF(INDEX('Job Applications'!$G$2:$G$1001,$H27)="","",INDEX('Job Applications'!$G$2:$G$1001,$H27)))</f>
        <v/>
      </c>
      <c r="F27" t="str">
        <f ca="1">IF($H27="","",IF(INDEX('Job Applications'!$J$2:$J$1001,$H27)="","",INDEX('Job Applications'!$J$2:$J$1001,$H27)))</f>
        <v/>
      </c>
      <c r="H27" s="34" t="str">
        <f ca="1">IFERROR(_xlfn.AGGREGATE(15,6,(ROW('Job Applications'!$K$2:$K$1001)-ROW('Job Applications'!$K$2)+1)/(('Job Applications'!$K$2:$K$1001=$B$3)*('Job Applications'!$B$2:$B$1001&lt;&gt;"")),ROWS($H$6:H27)),"")</f>
        <v/>
      </c>
    </row>
    <row r="28" spans="1:8" ht="21.95" customHeight="1">
      <c r="A28" s="30" t="str">
        <f ca="1">IF($H28="","",IF(INDEX('Job Applications'!$A$2:$A$1001,$H28)="","",INDEX('Job Applications'!$A$2:$A$1001,$H28)))</f>
        <v/>
      </c>
      <c r="B28" t="str">
        <f ca="1">IF($H28="","",IF(INDEX('Job Applications'!$B$2:$B$1001,$H28)="","",INDEX('Job Applications'!$B$2:$B$1001,$H28)))</f>
        <v/>
      </c>
      <c r="C28" t="str">
        <f ca="1">IF($H28="","",IF(INDEX('Job Applications'!$C$2:$C$1001,$H28)="","",INDEX('Job Applications'!$C$2:$C$1001,$H28)))</f>
        <v/>
      </c>
      <c r="D28" t="str">
        <f ca="1">IF($H28="","",IF(INDEX('Job Applications'!$E$2:$E$1001,$H28)="","",INDEX('Job Applications'!$E$2:$E$1001,$H28)))</f>
        <v/>
      </c>
      <c r="E28" t="str">
        <f ca="1">IF($H28="","",IF(INDEX('Job Applications'!$G$2:$G$1001,$H28)="","",INDEX('Job Applications'!$G$2:$G$1001,$H28)))</f>
        <v/>
      </c>
      <c r="F28" t="str">
        <f ca="1">IF($H28="","",IF(INDEX('Job Applications'!$J$2:$J$1001,$H28)="","",INDEX('Job Applications'!$J$2:$J$1001,$H28)))</f>
        <v/>
      </c>
      <c r="H28" s="34" t="str">
        <f ca="1">IFERROR(_xlfn.AGGREGATE(15,6,(ROW('Job Applications'!$K$2:$K$1001)-ROW('Job Applications'!$K$2)+1)/(('Job Applications'!$K$2:$K$1001=$B$3)*('Job Applications'!$B$2:$B$1001&lt;&gt;"")),ROWS($H$6:H28)),"")</f>
        <v/>
      </c>
    </row>
    <row r="29" spans="1:8" ht="21.95" customHeight="1">
      <c r="A29" s="30" t="str">
        <f ca="1">IF($H29="","",IF(INDEX('Job Applications'!$A$2:$A$1001,$H29)="","",INDEX('Job Applications'!$A$2:$A$1001,$H29)))</f>
        <v/>
      </c>
      <c r="B29" t="str">
        <f ca="1">IF($H29="","",IF(INDEX('Job Applications'!$B$2:$B$1001,$H29)="","",INDEX('Job Applications'!$B$2:$B$1001,$H29)))</f>
        <v/>
      </c>
      <c r="C29" t="str">
        <f ca="1">IF($H29="","",IF(INDEX('Job Applications'!$C$2:$C$1001,$H29)="","",INDEX('Job Applications'!$C$2:$C$1001,$H29)))</f>
        <v/>
      </c>
      <c r="D29" t="str">
        <f ca="1">IF($H29="","",IF(INDEX('Job Applications'!$E$2:$E$1001,$H29)="","",INDEX('Job Applications'!$E$2:$E$1001,$H29)))</f>
        <v/>
      </c>
      <c r="E29" t="str">
        <f ca="1">IF($H29="","",IF(INDEX('Job Applications'!$G$2:$G$1001,$H29)="","",INDEX('Job Applications'!$G$2:$G$1001,$H29)))</f>
        <v/>
      </c>
      <c r="F29" t="str">
        <f ca="1">IF($H29="","",IF(INDEX('Job Applications'!$J$2:$J$1001,$H29)="","",INDEX('Job Applications'!$J$2:$J$1001,$H29)))</f>
        <v/>
      </c>
      <c r="H29" s="34" t="str">
        <f ca="1">IFERROR(_xlfn.AGGREGATE(15,6,(ROW('Job Applications'!$K$2:$K$1001)-ROW('Job Applications'!$K$2)+1)/(('Job Applications'!$K$2:$K$1001=$B$3)*('Job Applications'!$B$2:$B$1001&lt;&gt;"")),ROWS($H$6:H29)),"")</f>
        <v/>
      </c>
    </row>
    <row r="30" spans="1:8" ht="21.95" customHeight="1">
      <c r="A30" s="30" t="str">
        <f ca="1">IF($H30="","",IF(INDEX('Job Applications'!$A$2:$A$1001,$H30)="","",INDEX('Job Applications'!$A$2:$A$1001,$H30)))</f>
        <v/>
      </c>
      <c r="B30" t="str">
        <f ca="1">IF($H30="","",IF(INDEX('Job Applications'!$B$2:$B$1001,$H30)="","",INDEX('Job Applications'!$B$2:$B$1001,$H30)))</f>
        <v/>
      </c>
      <c r="C30" t="str">
        <f ca="1">IF($H30="","",IF(INDEX('Job Applications'!$C$2:$C$1001,$H30)="","",INDEX('Job Applications'!$C$2:$C$1001,$H30)))</f>
        <v/>
      </c>
      <c r="D30" t="str">
        <f ca="1">IF($H30="","",IF(INDEX('Job Applications'!$E$2:$E$1001,$H30)="","",INDEX('Job Applications'!$E$2:$E$1001,$H30)))</f>
        <v/>
      </c>
      <c r="E30" t="str">
        <f ca="1">IF($H30="","",IF(INDEX('Job Applications'!$G$2:$G$1001,$H30)="","",INDEX('Job Applications'!$G$2:$G$1001,$H30)))</f>
        <v/>
      </c>
      <c r="F30" t="str">
        <f ca="1">IF($H30="","",IF(INDEX('Job Applications'!$J$2:$J$1001,$H30)="","",INDEX('Job Applications'!$J$2:$J$1001,$H30)))</f>
        <v/>
      </c>
      <c r="H30" s="34" t="str">
        <f ca="1">IFERROR(_xlfn.AGGREGATE(15,6,(ROW('Job Applications'!$K$2:$K$1001)-ROW('Job Applications'!$K$2)+1)/(('Job Applications'!$K$2:$K$1001=$B$3)*('Job Applications'!$B$2:$B$1001&lt;&gt;"")),ROWS($H$6:H30)),"")</f>
        <v/>
      </c>
    </row>
    <row r="31" spans="1:8" ht="21.95" customHeight="1">
      <c r="A31" s="30" t="str">
        <f ca="1">IF($H31="","",IF(INDEX('Job Applications'!$A$2:$A$1001,$H31)="","",INDEX('Job Applications'!$A$2:$A$1001,$H31)))</f>
        <v/>
      </c>
      <c r="B31" t="str">
        <f ca="1">IF($H31="","",IF(INDEX('Job Applications'!$B$2:$B$1001,$H31)="","",INDEX('Job Applications'!$B$2:$B$1001,$H31)))</f>
        <v/>
      </c>
      <c r="C31" t="str">
        <f ca="1">IF($H31="","",IF(INDEX('Job Applications'!$C$2:$C$1001,$H31)="","",INDEX('Job Applications'!$C$2:$C$1001,$H31)))</f>
        <v/>
      </c>
      <c r="D31" t="str">
        <f ca="1">IF($H31="","",IF(INDEX('Job Applications'!$E$2:$E$1001,$H31)="","",INDEX('Job Applications'!$E$2:$E$1001,$H31)))</f>
        <v/>
      </c>
      <c r="E31" t="str">
        <f ca="1">IF($H31="","",IF(INDEX('Job Applications'!$G$2:$G$1001,$H31)="","",INDEX('Job Applications'!$G$2:$G$1001,$H31)))</f>
        <v/>
      </c>
      <c r="F31" t="str">
        <f ca="1">IF($H31="","",IF(INDEX('Job Applications'!$J$2:$J$1001,$H31)="","",INDEX('Job Applications'!$J$2:$J$1001,$H31)))</f>
        <v/>
      </c>
      <c r="H31" s="34" t="str">
        <f ca="1">IFERROR(_xlfn.AGGREGATE(15,6,(ROW('Job Applications'!$K$2:$K$1001)-ROW('Job Applications'!$K$2)+1)/(('Job Applications'!$K$2:$K$1001=$B$3)*('Job Applications'!$B$2:$B$1001&lt;&gt;"")),ROWS($H$6:H31)),"")</f>
        <v/>
      </c>
    </row>
    <row r="32" spans="1:8" ht="21.95" customHeight="1">
      <c r="A32" s="30" t="str">
        <f ca="1">IF($H32="","",IF(INDEX('Job Applications'!$A$2:$A$1001,$H32)="","",INDEX('Job Applications'!$A$2:$A$1001,$H32)))</f>
        <v/>
      </c>
      <c r="B32" t="str">
        <f ca="1">IF($H32="","",IF(INDEX('Job Applications'!$B$2:$B$1001,$H32)="","",INDEX('Job Applications'!$B$2:$B$1001,$H32)))</f>
        <v/>
      </c>
      <c r="C32" t="str">
        <f ca="1">IF($H32="","",IF(INDEX('Job Applications'!$C$2:$C$1001,$H32)="","",INDEX('Job Applications'!$C$2:$C$1001,$H32)))</f>
        <v/>
      </c>
      <c r="D32" t="str">
        <f ca="1">IF($H32="","",IF(INDEX('Job Applications'!$E$2:$E$1001,$H32)="","",INDEX('Job Applications'!$E$2:$E$1001,$H32)))</f>
        <v/>
      </c>
      <c r="E32" t="str">
        <f ca="1">IF($H32="","",IF(INDEX('Job Applications'!$G$2:$G$1001,$H32)="","",INDEX('Job Applications'!$G$2:$G$1001,$H32)))</f>
        <v/>
      </c>
      <c r="F32" t="str">
        <f ca="1">IF($H32="","",IF(INDEX('Job Applications'!$J$2:$J$1001,$H32)="","",INDEX('Job Applications'!$J$2:$J$1001,$H32)))</f>
        <v/>
      </c>
      <c r="H32" s="34" t="str">
        <f ca="1">IFERROR(_xlfn.AGGREGATE(15,6,(ROW('Job Applications'!$K$2:$K$1001)-ROW('Job Applications'!$K$2)+1)/(('Job Applications'!$K$2:$K$1001=$B$3)*('Job Applications'!$B$2:$B$1001&lt;&gt;"")),ROWS($H$6:H32)),"")</f>
        <v/>
      </c>
    </row>
    <row r="33" spans="1:8" ht="21.95" customHeight="1">
      <c r="A33" s="30" t="str">
        <f ca="1">IF($H33="","",IF(INDEX('Job Applications'!$A$2:$A$1001,$H33)="","",INDEX('Job Applications'!$A$2:$A$1001,$H33)))</f>
        <v/>
      </c>
      <c r="B33" t="str">
        <f ca="1">IF($H33="","",IF(INDEX('Job Applications'!$B$2:$B$1001,$H33)="","",INDEX('Job Applications'!$B$2:$B$1001,$H33)))</f>
        <v/>
      </c>
      <c r="C33" t="str">
        <f ca="1">IF($H33="","",IF(INDEX('Job Applications'!$C$2:$C$1001,$H33)="","",INDEX('Job Applications'!$C$2:$C$1001,$H33)))</f>
        <v/>
      </c>
      <c r="D33" t="str">
        <f ca="1">IF($H33="","",IF(INDEX('Job Applications'!$E$2:$E$1001,$H33)="","",INDEX('Job Applications'!$E$2:$E$1001,$H33)))</f>
        <v/>
      </c>
      <c r="E33" t="str">
        <f ca="1">IF($H33="","",IF(INDEX('Job Applications'!$G$2:$G$1001,$H33)="","",INDEX('Job Applications'!$G$2:$G$1001,$H33)))</f>
        <v/>
      </c>
      <c r="F33" t="str">
        <f ca="1">IF($H33="","",IF(INDEX('Job Applications'!$J$2:$J$1001,$H33)="","",INDEX('Job Applications'!$J$2:$J$1001,$H33)))</f>
        <v/>
      </c>
      <c r="H33" s="34" t="str">
        <f ca="1">IFERROR(_xlfn.AGGREGATE(15,6,(ROW('Job Applications'!$K$2:$K$1001)-ROW('Job Applications'!$K$2)+1)/(('Job Applications'!$K$2:$K$1001=$B$3)*('Job Applications'!$B$2:$B$1001&lt;&gt;"")),ROWS($H$6:H33)),"")</f>
        <v/>
      </c>
    </row>
    <row r="34" spans="1:8" ht="21.95" customHeight="1">
      <c r="A34" s="30" t="str">
        <f ca="1">IF($H34="","",IF(INDEX('Job Applications'!$A$2:$A$1001,$H34)="","",INDEX('Job Applications'!$A$2:$A$1001,$H34)))</f>
        <v/>
      </c>
      <c r="B34" t="str">
        <f ca="1">IF($H34="","",IF(INDEX('Job Applications'!$B$2:$B$1001,$H34)="","",INDEX('Job Applications'!$B$2:$B$1001,$H34)))</f>
        <v/>
      </c>
      <c r="C34" t="str">
        <f ca="1">IF($H34="","",IF(INDEX('Job Applications'!$C$2:$C$1001,$H34)="","",INDEX('Job Applications'!$C$2:$C$1001,$H34)))</f>
        <v/>
      </c>
      <c r="D34" t="str">
        <f ca="1">IF($H34="","",IF(INDEX('Job Applications'!$E$2:$E$1001,$H34)="","",INDEX('Job Applications'!$E$2:$E$1001,$H34)))</f>
        <v/>
      </c>
      <c r="E34" t="str">
        <f ca="1">IF($H34="","",IF(INDEX('Job Applications'!$G$2:$G$1001,$H34)="","",INDEX('Job Applications'!$G$2:$G$1001,$H34)))</f>
        <v/>
      </c>
      <c r="F34" t="str">
        <f ca="1">IF($H34="","",IF(INDEX('Job Applications'!$J$2:$J$1001,$H34)="","",INDEX('Job Applications'!$J$2:$J$1001,$H34)))</f>
        <v/>
      </c>
      <c r="H34" s="34" t="str">
        <f ca="1">IFERROR(_xlfn.AGGREGATE(15,6,(ROW('Job Applications'!$K$2:$K$1001)-ROW('Job Applications'!$K$2)+1)/(('Job Applications'!$K$2:$K$1001=$B$3)*('Job Applications'!$B$2:$B$1001&lt;&gt;"")),ROWS($H$6:H34)),"")</f>
        <v/>
      </c>
    </row>
    <row r="35" spans="1:8" ht="21.95" customHeight="1">
      <c r="A35" s="30" t="str">
        <f ca="1">IF($H35="","",IF(INDEX('Job Applications'!$A$2:$A$1001,$H35)="","",INDEX('Job Applications'!$A$2:$A$1001,$H35)))</f>
        <v/>
      </c>
      <c r="B35" t="str">
        <f ca="1">IF($H35="","",IF(INDEX('Job Applications'!$B$2:$B$1001,$H35)="","",INDEX('Job Applications'!$B$2:$B$1001,$H35)))</f>
        <v/>
      </c>
      <c r="C35" t="str">
        <f ca="1">IF($H35="","",IF(INDEX('Job Applications'!$C$2:$C$1001,$H35)="","",INDEX('Job Applications'!$C$2:$C$1001,$H35)))</f>
        <v/>
      </c>
      <c r="D35" t="str">
        <f ca="1">IF($H35="","",IF(INDEX('Job Applications'!$E$2:$E$1001,$H35)="","",INDEX('Job Applications'!$E$2:$E$1001,$H35)))</f>
        <v/>
      </c>
      <c r="E35" t="str">
        <f ca="1">IF($H35="","",IF(INDEX('Job Applications'!$G$2:$G$1001,$H35)="","",INDEX('Job Applications'!$G$2:$G$1001,$H35)))</f>
        <v/>
      </c>
      <c r="F35" t="str">
        <f ca="1">IF($H35="","",IF(INDEX('Job Applications'!$J$2:$J$1001,$H35)="","",INDEX('Job Applications'!$J$2:$J$1001,$H35)))</f>
        <v/>
      </c>
      <c r="H35" s="34" t="str">
        <f ca="1">IFERROR(_xlfn.AGGREGATE(15,6,(ROW('Job Applications'!$K$2:$K$1001)-ROW('Job Applications'!$K$2)+1)/(('Job Applications'!$K$2:$K$1001=$B$3)*('Job Applications'!$B$2:$B$1001&lt;&gt;"")),ROWS($H$6:H35)),"")</f>
        <v/>
      </c>
    </row>
    <row r="36" spans="1:8" ht="21.95" customHeight="1">
      <c r="A36" s="30" t="str">
        <f ca="1">IF($H36="","",IF(INDEX('Job Applications'!$A$2:$A$1001,$H36)="","",INDEX('Job Applications'!$A$2:$A$1001,$H36)))</f>
        <v/>
      </c>
      <c r="B36" t="str">
        <f ca="1">IF($H36="","",IF(INDEX('Job Applications'!$B$2:$B$1001,$H36)="","",INDEX('Job Applications'!$B$2:$B$1001,$H36)))</f>
        <v/>
      </c>
      <c r="C36" t="str">
        <f ca="1">IF($H36="","",IF(INDEX('Job Applications'!$C$2:$C$1001,$H36)="","",INDEX('Job Applications'!$C$2:$C$1001,$H36)))</f>
        <v/>
      </c>
      <c r="D36" t="str">
        <f ca="1">IF($H36="","",IF(INDEX('Job Applications'!$E$2:$E$1001,$H36)="","",INDEX('Job Applications'!$E$2:$E$1001,$H36)))</f>
        <v/>
      </c>
      <c r="E36" t="str">
        <f ca="1">IF($H36="","",IF(INDEX('Job Applications'!$G$2:$G$1001,$H36)="","",INDEX('Job Applications'!$G$2:$G$1001,$H36)))</f>
        <v/>
      </c>
      <c r="F36" t="str">
        <f ca="1">IF($H36="","",IF(INDEX('Job Applications'!$J$2:$J$1001,$H36)="","",INDEX('Job Applications'!$J$2:$J$1001,$H36)))</f>
        <v/>
      </c>
      <c r="H36" s="34" t="str">
        <f ca="1">IFERROR(_xlfn.AGGREGATE(15,6,(ROW('Job Applications'!$K$2:$K$1001)-ROW('Job Applications'!$K$2)+1)/(('Job Applications'!$K$2:$K$1001=$B$3)*('Job Applications'!$B$2:$B$1001&lt;&gt;"")),ROWS($H$6:H36)),"")</f>
        <v/>
      </c>
    </row>
    <row r="37" spans="1:8" ht="21.95" customHeight="1">
      <c r="A37" s="30" t="str">
        <f ca="1">IF($H37="","",IF(INDEX('Job Applications'!$A$2:$A$1001,$H37)="","",INDEX('Job Applications'!$A$2:$A$1001,$H37)))</f>
        <v/>
      </c>
      <c r="B37" t="str">
        <f ca="1">IF($H37="","",IF(INDEX('Job Applications'!$B$2:$B$1001,$H37)="","",INDEX('Job Applications'!$B$2:$B$1001,$H37)))</f>
        <v/>
      </c>
      <c r="C37" t="str">
        <f ca="1">IF($H37="","",IF(INDEX('Job Applications'!$C$2:$C$1001,$H37)="","",INDEX('Job Applications'!$C$2:$C$1001,$H37)))</f>
        <v/>
      </c>
      <c r="D37" t="str">
        <f ca="1">IF($H37="","",IF(INDEX('Job Applications'!$E$2:$E$1001,$H37)="","",INDEX('Job Applications'!$E$2:$E$1001,$H37)))</f>
        <v/>
      </c>
      <c r="E37" t="str">
        <f ca="1">IF($H37="","",IF(INDEX('Job Applications'!$G$2:$G$1001,$H37)="","",INDEX('Job Applications'!$G$2:$G$1001,$H37)))</f>
        <v/>
      </c>
      <c r="F37" t="str">
        <f ca="1">IF($H37="","",IF(INDEX('Job Applications'!$J$2:$J$1001,$H37)="","",INDEX('Job Applications'!$J$2:$J$1001,$H37)))</f>
        <v/>
      </c>
      <c r="H37" s="34" t="str">
        <f ca="1">IFERROR(_xlfn.AGGREGATE(15,6,(ROW('Job Applications'!$K$2:$K$1001)-ROW('Job Applications'!$K$2)+1)/(('Job Applications'!$K$2:$K$1001=$B$3)*('Job Applications'!$B$2:$B$1001&lt;&gt;"")),ROWS($H$6:H37)),"")</f>
        <v/>
      </c>
    </row>
    <row r="38" spans="1:8" ht="21.95" customHeight="1">
      <c r="A38" s="30" t="str">
        <f ca="1">IF($H38="","",IF(INDEX('Job Applications'!$A$2:$A$1001,$H38)="","",INDEX('Job Applications'!$A$2:$A$1001,$H38)))</f>
        <v/>
      </c>
      <c r="B38" t="str">
        <f ca="1">IF($H38="","",IF(INDEX('Job Applications'!$B$2:$B$1001,$H38)="","",INDEX('Job Applications'!$B$2:$B$1001,$H38)))</f>
        <v/>
      </c>
      <c r="C38" t="str">
        <f ca="1">IF($H38="","",IF(INDEX('Job Applications'!$C$2:$C$1001,$H38)="","",INDEX('Job Applications'!$C$2:$C$1001,$H38)))</f>
        <v/>
      </c>
      <c r="D38" t="str">
        <f ca="1">IF($H38="","",IF(INDEX('Job Applications'!$E$2:$E$1001,$H38)="","",INDEX('Job Applications'!$E$2:$E$1001,$H38)))</f>
        <v/>
      </c>
      <c r="E38" t="str">
        <f ca="1">IF($H38="","",IF(INDEX('Job Applications'!$G$2:$G$1001,$H38)="","",INDEX('Job Applications'!$G$2:$G$1001,$H38)))</f>
        <v/>
      </c>
      <c r="F38" t="str">
        <f ca="1">IF($H38="","",IF(INDEX('Job Applications'!$J$2:$J$1001,$H38)="","",INDEX('Job Applications'!$J$2:$J$1001,$H38)))</f>
        <v/>
      </c>
      <c r="H38" s="34" t="str">
        <f ca="1">IFERROR(_xlfn.AGGREGATE(15,6,(ROW('Job Applications'!$K$2:$K$1001)-ROW('Job Applications'!$K$2)+1)/(('Job Applications'!$K$2:$K$1001=$B$3)*('Job Applications'!$B$2:$B$1001&lt;&gt;"")),ROWS($H$6:H38)),"")</f>
        <v/>
      </c>
    </row>
    <row r="39" spans="1:8" ht="21.95" customHeight="1">
      <c r="A39" s="30" t="str">
        <f ca="1">IF($H39="","",IF(INDEX('Job Applications'!$A$2:$A$1001,$H39)="","",INDEX('Job Applications'!$A$2:$A$1001,$H39)))</f>
        <v/>
      </c>
      <c r="B39" t="str">
        <f ca="1">IF($H39="","",IF(INDEX('Job Applications'!$B$2:$B$1001,$H39)="","",INDEX('Job Applications'!$B$2:$B$1001,$H39)))</f>
        <v/>
      </c>
      <c r="C39" t="str">
        <f ca="1">IF($H39="","",IF(INDEX('Job Applications'!$C$2:$C$1001,$H39)="","",INDEX('Job Applications'!$C$2:$C$1001,$H39)))</f>
        <v/>
      </c>
      <c r="D39" t="str">
        <f ca="1">IF($H39="","",IF(INDEX('Job Applications'!$E$2:$E$1001,$H39)="","",INDEX('Job Applications'!$E$2:$E$1001,$H39)))</f>
        <v/>
      </c>
      <c r="E39" t="str">
        <f ca="1">IF($H39="","",IF(INDEX('Job Applications'!$G$2:$G$1001,$H39)="","",INDEX('Job Applications'!$G$2:$G$1001,$H39)))</f>
        <v/>
      </c>
      <c r="F39" t="str">
        <f ca="1">IF($H39="","",IF(INDEX('Job Applications'!$J$2:$J$1001,$H39)="","",INDEX('Job Applications'!$J$2:$J$1001,$H39)))</f>
        <v/>
      </c>
      <c r="H39" s="34" t="str">
        <f ca="1">IFERROR(_xlfn.AGGREGATE(15,6,(ROW('Job Applications'!$K$2:$K$1001)-ROW('Job Applications'!$K$2)+1)/(('Job Applications'!$K$2:$K$1001=$B$3)*('Job Applications'!$B$2:$B$1001&lt;&gt;"")),ROWS($H$6:H39)),"")</f>
        <v/>
      </c>
    </row>
    <row r="40" spans="1:8" ht="21.95" customHeight="1">
      <c r="A40" s="30" t="str">
        <f ca="1">IF($H40="","",IF(INDEX('Job Applications'!$A$2:$A$1001,$H40)="","",INDEX('Job Applications'!$A$2:$A$1001,$H40)))</f>
        <v/>
      </c>
      <c r="B40" t="str">
        <f ca="1">IF($H40="","",IF(INDEX('Job Applications'!$B$2:$B$1001,$H40)="","",INDEX('Job Applications'!$B$2:$B$1001,$H40)))</f>
        <v/>
      </c>
      <c r="C40" t="str">
        <f ca="1">IF($H40="","",IF(INDEX('Job Applications'!$C$2:$C$1001,$H40)="","",INDEX('Job Applications'!$C$2:$C$1001,$H40)))</f>
        <v/>
      </c>
      <c r="D40" t="str">
        <f ca="1">IF($H40="","",IF(INDEX('Job Applications'!$E$2:$E$1001,$H40)="","",INDEX('Job Applications'!$E$2:$E$1001,$H40)))</f>
        <v/>
      </c>
      <c r="E40" t="str">
        <f ca="1">IF($H40="","",IF(INDEX('Job Applications'!$G$2:$G$1001,$H40)="","",INDEX('Job Applications'!$G$2:$G$1001,$H40)))</f>
        <v/>
      </c>
      <c r="F40" t="str">
        <f ca="1">IF($H40="","",IF(INDEX('Job Applications'!$J$2:$J$1001,$H40)="","",INDEX('Job Applications'!$J$2:$J$1001,$H40)))</f>
        <v/>
      </c>
      <c r="H40" s="34" t="str">
        <f ca="1">IFERROR(_xlfn.AGGREGATE(15,6,(ROW('Job Applications'!$K$2:$K$1001)-ROW('Job Applications'!$K$2)+1)/(('Job Applications'!$K$2:$K$1001=$B$3)*('Job Applications'!$B$2:$B$1001&lt;&gt;"")),ROWS($H$6:H40)),"")</f>
        <v/>
      </c>
    </row>
    <row r="41" spans="1:8" ht="21.95" customHeight="1">
      <c r="A41" s="30" t="str">
        <f ca="1">IF($H41="","",IF(INDEX('Job Applications'!$A$2:$A$1001,$H41)="","",INDEX('Job Applications'!$A$2:$A$1001,$H41)))</f>
        <v/>
      </c>
      <c r="B41" t="str">
        <f ca="1">IF($H41="","",IF(INDEX('Job Applications'!$B$2:$B$1001,$H41)="","",INDEX('Job Applications'!$B$2:$B$1001,$H41)))</f>
        <v/>
      </c>
      <c r="C41" t="str">
        <f ca="1">IF($H41="","",IF(INDEX('Job Applications'!$C$2:$C$1001,$H41)="","",INDEX('Job Applications'!$C$2:$C$1001,$H41)))</f>
        <v/>
      </c>
      <c r="D41" t="str">
        <f ca="1">IF($H41="","",IF(INDEX('Job Applications'!$E$2:$E$1001,$H41)="","",INDEX('Job Applications'!$E$2:$E$1001,$H41)))</f>
        <v/>
      </c>
      <c r="E41" t="str">
        <f ca="1">IF($H41="","",IF(INDEX('Job Applications'!$G$2:$G$1001,$H41)="","",INDEX('Job Applications'!$G$2:$G$1001,$H41)))</f>
        <v/>
      </c>
      <c r="F41" t="str">
        <f ca="1">IF($H41="","",IF(INDEX('Job Applications'!$J$2:$J$1001,$H41)="","",INDEX('Job Applications'!$J$2:$J$1001,$H41)))</f>
        <v/>
      </c>
      <c r="H41" s="34" t="str">
        <f ca="1">IFERROR(_xlfn.AGGREGATE(15,6,(ROW('Job Applications'!$K$2:$K$1001)-ROW('Job Applications'!$K$2)+1)/(('Job Applications'!$K$2:$K$1001=$B$3)*('Job Applications'!$B$2:$B$1001&lt;&gt;"")),ROWS($H$6:H41)),"")</f>
        <v/>
      </c>
    </row>
    <row r="42" spans="1:8" ht="21.95" customHeight="1">
      <c r="A42" s="30" t="str">
        <f ca="1">IF($H42="","",IF(INDEX('Job Applications'!$A$2:$A$1001,$H42)="","",INDEX('Job Applications'!$A$2:$A$1001,$H42)))</f>
        <v/>
      </c>
      <c r="B42" t="str">
        <f ca="1">IF($H42="","",IF(INDEX('Job Applications'!$B$2:$B$1001,$H42)="","",INDEX('Job Applications'!$B$2:$B$1001,$H42)))</f>
        <v/>
      </c>
      <c r="C42" t="str">
        <f ca="1">IF($H42="","",IF(INDEX('Job Applications'!$C$2:$C$1001,$H42)="","",INDEX('Job Applications'!$C$2:$C$1001,$H42)))</f>
        <v/>
      </c>
      <c r="D42" t="str">
        <f ca="1">IF($H42="","",IF(INDEX('Job Applications'!$E$2:$E$1001,$H42)="","",INDEX('Job Applications'!$E$2:$E$1001,$H42)))</f>
        <v/>
      </c>
      <c r="E42" t="str">
        <f ca="1">IF($H42="","",IF(INDEX('Job Applications'!$G$2:$G$1001,$H42)="","",INDEX('Job Applications'!$G$2:$G$1001,$H42)))</f>
        <v/>
      </c>
      <c r="F42" t="str">
        <f ca="1">IF($H42="","",IF(INDEX('Job Applications'!$J$2:$J$1001,$H42)="","",INDEX('Job Applications'!$J$2:$J$1001,$H42)))</f>
        <v/>
      </c>
      <c r="H42" s="34" t="str">
        <f ca="1">IFERROR(_xlfn.AGGREGATE(15,6,(ROW('Job Applications'!$K$2:$K$1001)-ROW('Job Applications'!$K$2)+1)/(('Job Applications'!$K$2:$K$1001=$B$3)*('Job Applications'!$B$2:$B$1001&lt;&gt;"")),ROWS($H$6:H42)),"")</f>
        <v/>
      </c>
    </row>
    <row r="43" spans="1:8" ht="21.95" customHeight="1">
      <c r="A43" s="30" t="str">
        <f ca="1">IF($H43="","",IF(INDEX('Job Applications'!$A$2:$A$1001,$H43)="","",INDEX('Job Applications'!$A$2:$A$1001,$H43)))</f>
        <v/>
      </c>
      <c r="B43" t="str">
        <f ca="1">IF($H43="","",IF(INDEX('Job Applications'!$B$2:$B$1001,$H43)="","",INDEX('Job Applications'!$B$2:$B$1001,$H43)))</f>
        <v/>
      </c>
      <c r="C43" t="str">
        <f ca="1">IF($H43="","",IF(INDEX('Job Applications'!$C$2:$C$1001,$H43)="","",INDEX('Job Applications'!$C$2:$C$1001,$H43)))</f>
        <v/>
      </c>
      <c r="D43" t="str">
        <f ca="1">IF($H43="","",IF(INDEX('Job Applications'!$E$2:$E$1001,$H43)="","",INDEX('Job Applications'!$E$2:$E$1001,$H43)))</f>
        <v/>
      </c>
      <c r="E43" t="str">
        <f ca="1">IF($H43="","",IF(INDEX('Job Applications'!$G$2:$G$1001,$H43)="","",INDEX('Job Applications'!$G$2:$G$1001,$H43)))</f>
        <v/>
      </c>
      <c r="F43" t="str">
        <f ca="1">IF($H43="","",IF(INDEX('Job Applications'!$J$2:$J$1001,$H43)="","",INDEX('Job Applications'!$J$2:$J$1001,$H43)))</f>
        <v/>
      </c>
      <c r="H43" s="34" t="str">
        <f ca="1">IFERROR(_xlfn.AGGREGATE(15,6,(ROW('Job Applications'!$K$2:$K$1001)-ROW('Job Applications'!$K$2)+1)/(('Job Applications'!$K$2:$K$1001=$B$3)*('Job Applications'!$B$2:$B$1001&lt;&gt;"")),ROWS($H$6:H43)),"")</f>
        <v/>
      </c>
    </row>
    <row r="44" spans="1:8" ht="21.95" customHeight="1">
      <c r="A44" s="30" t="str">
        <f ca="1">IF($H44="","",IF(INDEX('Job Applications'!$A$2:$A$1001,$H44)="","",INDEX('Job Applications'!$A$2:$A$1001,$H44)))</f>
        <v/>
      </c>
      <c r="B44" t="str">
        <f ca="1">IF($H44="","",IF(INDEX('Job Applications'!$B$2:$B$1001,$H44)="","",INDEX('Job Applications'!$B$2:$B$1001,$H44)))</f>
        <v/>
      </c>
      <c r="C44" t="str">
        <f ca="1">IF($H44="","",IF(INDEX('Job Applications'!$C$2:$C$1001,$H44)="","",INDEX('Job Applications'!$C$2:$C$1001,$H44)))</f>
        <v/>
      </c>
      <c r="D44" t="str">
        <f ca="1">IF($H44="","",IF(INDEX('Job Applications'!$E$2:$E$1001,$H44)="","",INDEX('Job Applications'!$E$2:$E$1001,$H44)))</f>
        <v/>
      </c>
      <c r="E44" t="str">
        <f ca="1">IF($H44="","",IF(INDEX('Job Applications'!$G$2:$G$1001,$H44)="","",INDEX('Job Applications'!$G$2:$G$1001,$H44)))</f>
        <v/>
      </c>
      <c r="F44" t="str">
        <f ca="1">IF($H44="","",IF(INDEX('Job Applications'!$J$2:$J$1001,$H44)="","",INDEX('Job Applications'!$J$2:$J$1001,$H44)))</f>
        <v/>
      </c>
      <c r="H44" s="34" t="str">
        <f ca="1">IFERROR(_xlfn.AGGREGATE(15,6,(ROW('Job Applications'!$K$2:$K$1001)-ROW('Job Applications'!$K$2)+1)/(('Job Applications'!$K$2:$K$1001=$B$3)*('Job Applications'!$B$2:$B$1001&lt;&gt;"")),ROWS($H$6:H44)),"")</f>
        <v/>
      </c>
    </row>
    <row r="45" spans="1:8" ht="21.95" customHeight="1">
      <c r="A45" s="30" t="str">
        <f ca="1">IF($H45="","",IF(INDEX('Job Applications'!$A$2:$A$1001,$H45)="","",INDEX('Job Applications'!$A$2:$A$1001,$H45)))</f>
        <v/>
      </c>
      <c r="B45" t="str">
        <f ca="1">IF($H45="","",IF(INDEX('Job Applications'!$B$2:$B$1001,$H45)="","",INDEX('Job Applications'!$B$2:$B$1001,$H45)))</f>
        <v/>
      </c>
      <c r="C45" t="str">
        <f ca="1">IF($H45="","",IF(INDEX('Job Applications'!$C$2:$C$1001,$H45)="","",INDEX('Job Applications'!$C$2:$C$1001,$H45)))</f>
        <v/>
      </c>
      <c r="D45" t="str">
        <f ca="1">IF($H45="","",IF(INDEX('Job Applications'!$E$2:$E$1001,$H45)="","",INDEX('Job Applications'!$E$2:$E$1001,$H45)))</f>
        <v/>
      </c>
      <c r="E45" t="str">
        <f ca="1">IF($H45="","",IF(INDEX('Job Applications'!$G$2:$G$1001,$H45)="","",INDEX('Job Applications'!$G$2:$G$1001,$H45)))</f>
        <v/>
      </c>
      <c r="F45" t="str">
        <f ca="1">IF($H45="","",IF(INDEX('Job Applications'!$J$2:$J$1001,$H45)="","",INDEX('Job Applications'!$J$2:$J$1001,$H45)))</f>
        <v/>
      </c>
      <c r="H45" s="34" t="str">
        <f ca="1">IFERROR(_xlfn.AGGREGATE(15,6,(ROW('Job Applications'!$K$2:$K$1001)-ROW('Job Applications'!$K$2)+1)/(('Job Applications'!$K$2:$K$1001=$B$3)*('Job Applications'!$B$2:$B$1001&lt;&gt;"")),ROWS($H$6:H45)),"")</f>
        <v/>
      </c>
    </row>
    <row r="46" spans="1:8">
      <c r="A46" s="5"/>
    </row>
    <row r="47" spans="1:8">
      <c r="A47" s="5" t="str">
        <f ca="1">IF($E$3=0,"No applications recorded for the selected week.","")</f>
        <v/>
      </c>
    </row>
    <row r="48" spans="1:8">
      <c r="A48" s="5"/>
    </row>
    <row r="49" spans="1:1">
      <c r="A49" s="5"/>
    </row>
    <row r="50" spans="1:1">
      <c r="A50" s="5"/>
    </row>
    <row r="51" spans="1:1">
      <c r="A51" s="5"/>
    </row>
    <row r="52" spans="1:1">
      <c r="A52" s="5"/>
    </row>
    <row r="53" spans="1:1">
      <c r="A53" s="5"/>
    </row>
    <row r="54" spans="1:1">
      <c r="A54" s="5"/>
    </row>
    <row r="55" spans="1:1">
      <c r="A55" s="5"/>
    </row>
    <row r="56" spans="1:1">
      <c r="A56" s="5"/>
    </row>
    <row r="57" spans="1:1">
      <c r="A57" s="5"/>
    </row>
    <row r="58" spans="1:1">
      <c r="A58" s="5"/>
    </row>
    <row r="59" spans="1:1">
      <c r="A59" s="5"/>
    </row>
    <row r="60" spans="1:1">
      <c r="A60" s="5"/>
    </row>
    <row r="61" spans="1:1">
      <c r="A61" s="5"/>
    </row>
    <row r="62" spans="1:1">
      <c r="A62" s="5"/>
    </row>
    <row r="63" spans="1:1">
      <c r="A63" s="5"/>
    </row>
    <row r="64" spans="1:1">
      <c r="A64" s="5"/>
    </row>
    <row r="65" spans="1:1">
      <c r="A65" s="5"/>
    </row>
    <row r="66" spans="1:1">
      <c r="A66" s="5"/>
    </row>
    <row r="67" spans="1:1">
      <c r="A67" s="5"/>
    </row>
    <row r="68" spans="1:1">
      <c r="A68" s="5"/>
    </row>
    <row r="69" spans="1:1">
      <c r="A69" s="5"/>
    </row>
    <row r="70" spans="1:1">
      <c r="A70" s="5"/>
    </row>
    <row r="71" spans="1:1">
      <c r="A71" s="5"/>
    </row>
    <row r="72" spans="1:1">
      <c r="A72" s="5"/>
    </row>
    <row r="73" spans="1:1">
      <c r="A73" s="5"/>
    </row>
    <row r="74" spans="1:1">
      <c r="A74" s="5"/>
    </row>
    <row r="75" spans="1:1">
      <c r="A75" s="5"/>
    </row>
    <row r="76" spans="1:1">
      <c r="A76" s="5"/>
    </row>
    <row r="77" spans="1:1">
      <c r="A77" s="5"/>
    </row>
    <row r="78" spans="1:1">
      <c r="A78" s="5"/>
    </row>
    <row r="79" spans="1:1">
      <c r="A79" s="5"/>
    </row>
    <row r="80" spans="1:1">
      <c r="A80" s="5"/>
    </row>
    <row r="81" spans="1:1">
      <c r="A81" s="5"/>
    </row>
    <row r="82" spans="1:1">
      <c r="A82" s="5"/>
    </row>
    <row r="83" spans="1:1">
      <c r="A83" s="5"/>
    </row>
    <row r="84" spans="1:1">
      <c r="A84" s="5"/>
    </row>
    <row r="85" spans="1:1">
      <c r="A85" s="5"/>
    </row>
    <row r="86" spans="1:1">
      <c r="A86" s="5"/>
    </row>
    <row r="87" spans="1:1">
      <c r="A87" s="5"/>
    </row>
    <row r="88" spans="1:1">
      <c r="A88" s="5"/>
    </row>
    <row r="89" spans="1:1">
      <c r="A89" s="5"/>
    </row>
    <row r="90" spans="1:1">
      <c r="A90" s="5"/>
    </row>
    <row r="91" spans="1:1">
      <c r="A91" s="5"/>
    </row>
    <row r="92" spans="1:1">
      <c r="A92" s="5"/>
    </row>
    <row r="93" spans="1:1">
      <c r="A93" s="5"/>
    </row>
    <row r="94" spans="1:1">
      <c r="A94" s="5"/>
    </row>
    <row r="95" spans="1:1">
      <c r="A95" s="5"/>
    </row>
    <row r="96" spans="1:1">
      <c r="A96" s="5"/>
    </row>
    <row r="97" spans="1:1">
      <c r="A97" s="5"/>
    </row>
    <row r="98" spans="1:1">
      <c r="A98" s="5"/>
    </row>
    <row r="99" spans="1:1">
      <c r="A99" s="5"/>
    </row>
    <row r="100" spans="1:1">
      <c r="A100" s="5"/>
    </row>
    <row r="101" spans="1:1">
      <c r="A101" s="5"/>
    </row>
    <row r="102" spans="1:1">
      <c r="A102" s="5"/>
    </row>
    <row r="103" spans="1:1">
      <c r="A103" s="5"/>
    </row>
    <row r="104" spans="1:1">
      <c r="A104" s="5"/>
    </row>
    <row r="105" spans="1:1">
      <c r="A105" s="5"/>
    </row>
    <row r="106" spans="1:1">
      <c r="A106" s="5"/>
    </row>
    <row r="107" spans="1:1">
      <c r="A107" s="5"/>
    </row>
    <row r="108" spans="1:1">
      <c r="A108" s="5"/>
    </row>
    <row r="109" spans="1:1">
      <c r="A109" s="5"/>
    </row>
    <row r="110" spans="1:1">
      <c r="A110" s="5"/>
    </row>
    <row r="111" spans="1:1">
      <c r="A111" s="5"/>
    </row>
    <row r="112" spans="1:1">
      <c r="A112" s="5"/>
    </row>
    <row r="113" spans="1:1">
      <c r="A113" s="5"/>
    </row>
    <row r="114" spans="1:1">
      <c r="A114" s="5"/>
    </row>
    <row r="115" spans="1:1">
      <c r="A115" s="5"/>
    </row>
    <row r="116" spans="1:1">
      <c r="A116" s="5"/>
    </row>
    <row r="117" spans="1:1">
      <c r="A117" s="5"/>
    </row>
    <row r="118" spans="1:1">
      <c r="A118" s="5"/>
    </row>
    <row r="119" spans="1:1">
      <c r="A119" s="5"/>
    </row>
    <row r="120" spans="1:1">
      <c r="A120" s="5"/>
    </row>
    <row r="121" spans="1:1">
      <c r="A121" s="5"/>
    </row>
    <row r="122" spans="1:1">
      <c r="A122" s="5"/>
    </row>
    <row r="123" spans="1:1">
      <c r="A123" s="5"/>
    </row>
    <row r="124" spans="1:1">
      <c r="A124" s="5"/>
    </row>
    <row r="125" spans="1:1">
      <c r="A125" s="5"/>
    </row>
    <row r="126" spans="1:1">
      <c r="A126" s="5"/>
    </row>
    <row r="127" spans="1:1">
      <c r="A127" s="5"/>
    </row>
    <row r="128" spans="1:1">
      <c r="A128" s="5"/>
    </row>
    <row r="129" spans="1:1">
      <c r="A129" s="5"/>
    </row>
    <row r="130" spans="1:1">
      <c r="A130" s="5"/>
    </row>
    <row r="131" spans="1:1">
      <c r="A131" s="5"/>
    </row>
    <row r="132" spans="1:1">
      <c r="A132" s="5"/>
    </row>
    <row r="133" spans="1:1">
      <c r="A133" s="5"/>
    </row>
    <row r="134" spans="1:1">
      <c r="A134" s="5"/>
    </row>
    <row r="135" spans="1:1">
      <c r="A135" s="5"/>
    </row>
    <row r="136" spans="1:1">
      <c r="A136" s="5"/>
    </row>
    <row r="137" spans="1:1">
      <c r="A137" s="5"/>
    </row>
    <row r="138" spans="1:1">
      <c r="A138" s="5"/>
    </row>
    <row r="139" spans="1:1">
      <c r="A139" s="5"/>
    </row>
    <row r="140" spans="1:1">
      <c r="A140" s="5"/>
    </row>
    <row r="141" spans="1:1">
      <c r="A141" s="5"/>
    </row>
    <row r="142" spans="1:1">
      <c r="A142" s="5"/>
    </row>
    <row r="143" spans="1:1">
      <c r="A143" s="5"/>
    </row>
    <row r="144" spans="1:1">
      <c r="A144" s="5"/>
    </row>
    <row r="145" spans="1:1">
      <c r="A145" s="5"/>
    </row>
    <row r="146" spans="1:1">
      <c r="A146" s="5"/>
    </row>
    <row r="147" spans="1:1">
      <c r="A147" s="5"/>
    </row>
    <row r="148" spans="1:1">
      <c r="A148" s="5"/>
    </row>
    <row r="149" spans="1:1">
      <c r="A149" s="5"/>
    </row>
    <row r="150" spans="1:1">
      <c r="A150" s="5"/>
    </row>
  </sheetData>
  <conditionalFormatting sqref="A6:F45">
    <cfRule type="expression" dxfId="0" priority="1">
      <formula>AND(MOD(ROW(),2)=0,$B6&lt;&gt;"")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51"/>
  <sheetViews>
    <sheetView workbookViewId="0">
      <pane ySplit="1" topLeftCell="A2" activePane="bottomLeft" state="frozen"/>
      <selection pane="bottomLeft" activeCell="E5" sqref="E5"/>
    </sheetView>
  </sheetViews>
  <sheetFormatPr defaultRowHeight="14.25"/>
  <cols>
    <col min="1" max="2" width="26" customWidth="1"/>
    <col min="3" max="3" width="31" customWidth="1"/>
    <col min="4" max="7" width="26" customWidth="1"/>
    <col min="8" max="9" width="31" customWidth="1"/>
    <col min="10" max="10" width="26" customWidth="1"/>
    <col min="12" max="12" width="31" customWidth="1"/>
    <col min="13" max="13" width="20" customWidth="1"/>
    <col min="14" max="14" width="13" customWidth="1"/>
  </cols>
  <sheetData>
    <row r="1" spans="1:12" ht="33.950000000000003" customHeight="1">
      <c r="A1" s="20" t="s">
        <v>48</v>
      </c>
      <c r="B1" s="20" t="s">
        <v>49</v>
      </c>
      <c r="C1" s="20" t="s">
        <v>50</v>
      </c>
      <c r="D1" s="20" t="s">
        <v>11</v>
      </c>
      <c r="E1" s="20" t="s">
        <v>12</v>
      </c>
      <c r="F1" s="20" t="s">
        <v>13</v>
      </c>
      <c r="G1" s="20" t="s">
        <v>14</v>
      </c>
      <c r="H1" s="20" t="s">
        <v>15</v>
      </c>
      <c r="I1" s="20" t="s">
        <v>16</v>
      </c>
      <c r="J1" s="20" t="s">
        <v>51</v>
      </c>
      <c r="L1" s="3" t="s">
        <v>52</v>
      </c>
    </row>
    <row r="2" spans="1:12" ht="21" customHeight="1">
      <c r="A2" s="21" t="s">
        <v>34</v>
      </c>
      <c r="B2" s="21" t="s">
        <v>53</v>
      </c>
      <c r="C2" s="21" t="s">
        <v>54</v>
      </c>
      <c r="D2" s="21" t="s">
        <v>147</v>
      </c>
      <c r="E2" s="21" t="s">
        <v>152</v>
      </c>
      <c r="F2" s="21" t="s">
        <v>55</v>
      </c>
      <c r="G2" s="21" t="s">
        <v>56</v>
      </c>
      <c r="H2" s="21" t="s">
        <v>57</v>
      </c>
      <c r="I2" s="25" t="s">
        <v>56</v>
      </c>
      <c r="J2" s="27" t="s">
        <v>133</v>
      </c>
    </row>
    <row r="3" spans="1:12" ht="21" customHeight="1">
      <c r="A3" s="21" t="s">
        <v>58</v>
      </c>
      <c r="B3" s="21" t="s">
        <v>59</v>
      </c>
      <c r="C3" s="21" t="s">
        <v>60</v>
      </c>
      <c r="D3" s="21" t="s">
        <v>148</v>
      </c>
      <c r="E3" s="21" t="s">
        <v>153</v>
      </c>
      <c r="F3" s="21" t="s">
        <v>61</v>
      </c>
      <c r="G3" s="21" t="s">
        <v>62</v>
      </c>
      <c r="H3" s="21" t="s">
        <v>63</v>
      </c>
      <c r="I3" s="25" t="s">
        <v>64</v>
      </c>
      <c r="J3" s="28" t="s">
        <v>134</v>
      </c>
      <c r="L3" t="s">
        <v>65</v>
      </c>
    </row>
    <row r="4" spans="1:12" ht="21" customHeight="1">
      <c r="A4" s="21" t="s">
        <v>66</v>
      </c>
      <c r="B4" s="21" t="s">
        <v>67</v>
      </c>
      <c r="C4" s="21" t="s">
        <v>68</v>
      </c>
      <c r="D4" s="21" t="s">
        <v>149</v>
      </c>
      <c r="E4" s="21" t="s">
        <v>154</v>
      </c>
      <c r="F4" s="21" t="s">
        <v>69</v>
      </c>
      <c r="G4" s="21" t="s">
        <v>70</v>
      </c>
      <c r="H4" s="21" t="s">
        <v>71</v>
      </c>
      <c r="I4" s="25" t="s">
        <v>72</v>
      </c>
      <c r="J4" s="28" t="s">
        <v>135</v>
      </c>
      <c r="L4" t="s">
        <v>73</v>
      </c>
    </row>
    <row r="5" spans="1:12" ht="21" customHeight="1">
      <c r="A5" s="21" t="s">
        <v>74</v>
      </c>
      <c r="B5" s="21" t="s">
        <v>75</v>
      </c>
      <c r="C5" s="21" t="s">
        <v>76</v>
      </c>
      <c r="D5" s="21" t="s">
        <v>150</v>
      </c>
      <c r="E5" s="21">
        <v>3</v>
      </c>
      <c r="F5" s="21" t="s">
        <v>77</v>
      </c>
      <c r="G5" s="21" t="s">
        <v>78</v>
      </c>
      <c r="H5" s="21" t="s">
        <v>79</v>
      </c>
      <c r="I5" s="25" t="s">
        <v>80</v>
      </c>
      <c r="J5" s="28" t="s">
        <v>136</v>
      </c>
      <c r="L5" t="s">
        <v>81</v>
      </c>
    </row>
    <row r="6" spans="1:12" ht="27" customHeight="1">
      <c r="A6" s="21" t="s">
        <v>82</v>
      </c>
      <c r="B6" s="21" t="s">
        <v>83</v>
      </c>
      <c r="C6" s="21" t="s">
        <v>151</v>
      </c>
      <c r="D6" s="21"/>
      <c r="E6" s="21"/>
      <c r="F6" s="21"/>
      <c r="G6" s="21" t="s">
        <v>84</v>
      </c>
      <c r="H6" s="21" t="s">
        <v>85</v>
      </c>
      <c r="I6" s="25" t="s">
        <v>86</v>
      </c>
      <c r="J6" s="28" t="s">
        <v>137</v>
      </c>
      <c r="L6" t="s">
        <v>87</v>
      </c>
    </row>
    <row r="7" spans="1:12" ht="21" customHeight="1">
      <c r="A7" s="21" t="s">
        <v>88</v>
      </c>
      <c r="B7" s="21" t="s">
        <v>89</v>
      </c>
      <c r="C7" s="21"/>
      <c r="D7" s="21"/>
      <c r="E7" s="21"/>
      <c r="F7" s="21"/>
      <c r="G7" s="21" t="s">
        <v>76</v>
      </c>
      <c r="H7" s="21" t="s">
        <v>90</v>
      </c>
      <c r="I7" s="25" t="s">
        <v>91</v>
      </c>
      <c r="J7" s="28" t="s">
        <v>138</v>
      </c>
      <c r="L7" t="s">
        <v>92</v>
      </c>
    </row>
    <row r="8" spans="1:12" ht="21" customHeight="1">
      <c r="A8" s="21" t="s">
        <v>79</v>
      </c>
      <c r="B8" s="21" t="s">
        <v>76</v>
      </c>
      <c r="C8" s="21"/>
      <c r="D8" s="21"/>
      <c r="E8" s="21"/>
      <c r="F8" s="21"/>
      <c r="G8" s="21"/>
      <c r="H8" s="21" t="s">
        <v>93</v>
      </c>
      <c r="I8" s="25" t="s">
        <v>76</v>
      </c>
      <c r="J8" s="28" t="s">
        <v>139</v>
      </c>
      <c r="L8" t="s">
        <v>94</v>
      </c>
    </row>
    <row r="9" spans="1:12" ht="21" customHeight="1">
      <c r="A9" s="21" t="s">
        <v>90</v>
      </c>
      <c r="B9" s="21"/>
      <c r="C9" s="21"/>
      <c r="D9" s="21"/>
      <c r="E9" s="21"/>
      <c r="F9" s="21"/>
      <c r="G9" s="21"/>
      <c r="H9" s="21"/>
      <c r="I9" s="25"/>
      <c r="J9" s="28" t="s">
        <v>140</v>
      </c>
      <c r="L9" t="s">
        <v>95</v>
      </c>
    </row>
    <row r="10" spans="1:12" ht="21" customHeight="1">
      <c r="A10" s="21" t="s">
        <v>93</v>
      </c>
      <c r="B10" s="21"/>
      <c r="C10" s="21"/>
      <c r="D10" s="21"/>
      <c r="E10" s="21"/>
      <c r="F10" s="21"/>
      <c r="G10" s="21"/>
      <c r="H10" s="21"/>
      <c r="I10" s="25"/>
      <c r="J10" s="28" t="s">
        <v>141</v>
      </c>
      <c r="L10" t="s">
        <v>96</v>
      </c>
    </row>
    <row r="11" spans="1:12" ht="21" customHeight="1">
      <c r="A11" s="21" t="s">
        <v>30</v>
      </c>
      <c r="B11" s="21"/>
      <c r="C11" s="21"/>
      <c r="D11" s="21"/>
      <c r="E11" s="21"/>
      <c r="F11" s="21"/>
      <c r="G11" s="21"/>
      <c r="H11" s="21"/>
      <c r="I11" s="25"/>
      <c r="J11" s="28" t="s">
        <v>142</v>
      </c>
    </row>
    <row r="12" spans="1:12" ht="21" customHeight="1">
      <c r="A12" s="21" t="s">
        <v>97</v>
      </c>
      <c r="B12" s="21"/>
      <c r="C12" s="21"/>
      <c r="D12" s="21"/>
      <c r="E12" s="21"/>
      <c r="F12" s="21"/>
      <c r="G12" s="21"/>
      <c r="H12" s="21"/>
      <c r="I12" s="25"/>
      <c r="J12" s="28"/>
    </row>
    <row r="13" spans="1:12" ht="21" customHeight="1">
      <c r="A13" s="21" t="s">
        <v>98</v>
      </c>
      <c r="B13" s="21"/>
      <c r="C13" s="21"/>
      <c r="D13" s="21"/>
      <c r="E13" s="21"/>
      <c r="F13" s="21"/>
      <c r="G13" s="21"/>
      <c r="H13" s="21"/>
      <c r="I13" s="25"/>
      <c r="J13" s="28"/>
      <c r="L13" s="3"/>
    </row>
    <row r="14" spans="1:12" ht="21" customHeight="1">
      <c r="A14" s="21"/>
      <c r="B14" s="21"/>
      <c r="C14" s="21"/>
      <c r="D14" s="21"/>
      <c r="E14" s="21"/>
      <c r="F14" s="21"/>
      <c r="G14" s="21"/>
      <c r="H14" s="21"/>
      <c r="I14" s="25"/>
      <c r="J14" s="28"/>
    </row>
    <row r="15" spans="1:12" ht="21" customHeight="1">
      <c r="A15" s="22"/>
      <c r="B15" s="22"/>
      <c r="C15" s="22"/>
      <c r="D15" s="22"/>
      <c r="E15" s="22"/>
      <c r="F15" s="22"/>
      <c r="G15" s="22"/>
      <c r="H15" s="22"/>
      <c r="I15" s="26"/>
      <c r="J15" s="29"/>
    </row>
    <row r="16" spans="1:12" ht="21" customHeight="1">
      <c r="A16" s="19"/>
      <c r="B16" s="19"/>
      <c r="C16" s="19"/>
      <c r="D16" s="19"/>
      <c r="E16" s="19"/>
      <c r="F16" s="19"/>
      <c r="G16" s="19"/>
      <c r="H16" s="19"/>
      <c r="I16" s="19"/>
      <c r="J16" s="19"/>
    </row>
    <row r="17" spans="1:10" ht="21" customHeight="1">
      <c r="A17" s="19"/>
      <c r="B17" s="19"/>
      <c r="C17" s="19"/>
      <c r="D17" s="19"/>
      <c r="E17" s="19"/>
      <c r="F17" s="19"/>
      <c r="G17" s="19"/>
      <c r="H17" s="19"/>
      <c r="I17" s="19"/>
      <c r="J17" s="19"/>
    </row>
    <row r="18" spans="1:10" ht="21" customHeight="1">
      <c r="A18" s="19"/>
      <c r="B18" s="19"/>
      <c r="C18" s="19"/>
      <c r="D18" s="19"/>
      <c r="E18" s="19"/>
      <c r="F18" s="19"/>
      <c r="G18" s="19"/>
      <c r="H18" s="19"/>
      <c r="I18" s="19"/>
      <c r="J18" s="19"/>
    </row>
    <row r="19" spans="1:10" ht="21" customHeight="1">
      <c r="A19" s="19"/>
      <c r="B19" s="19"/>
      <c r="C19" s="19"/>
      <c r="D19" s="19"/>
      <c r="E19" s="19"/>
      <c r="F19" s="19"/>
      <c r="G19" s="19"/>
      <c r="H19" s="19"/>
      <c r="I19" s="19"/>
      <c r="J19" s="19"/>
    </row>
    <row r="20" spans="1:10" ht="21" customHeight="1">
      <c r="A20" s="19"/>
      <c r="B20" s="19"/>
      <c r="C20" s="19"/>
      <c r="D20" s="19"/>
      <c r="E20" s="19"/>
      <c r="F20" s="19"/>
      <c r="G20" s="19"/>
      <c r="H20" s="19"/>
      <c r="I20" s="19"/>
      <c r="J20" s="19"/>
    </row>
    <row r="21" spans="1:10" ht="21" customHeight="1">
      <c r="A21" s="19"/>
      <c r="B21" s="19"/>
      <c r="C21" s="19"/>
      <c r="D21" s="19"/>
      <c r="E21" s="19"/>
      <c r="F21" s="19"/>
      <c r="G21" s="19"/>
      <c r="H21" s="19"/>
      <c r="I21" s="19"/>
      <c r="J21" s="19"/>
    </row>
    <row r="22" spans="1:10" ht="21" customHeight="1">
      <c r="A22" s="19"/>
      <c r="B22" s="19"/>
      <c r="C22" s="19"/>
      <c r="D22" s="19"/>
      <c r="E22" s="19"/>
      <c r="F22" s="19"/>
      <c r="G22" s="19"/>
      <c r="H22" s="19"/>
      <c r="I22" s="19"/>
      <c r="J22" s="19"/>
    </row>
    <row r="23" spans="1:10" ht="21" customHeight="1">
      <c r="A23" s="19"/>
      <c r="B23" s="19"/>
      <c r="C23" s="19"/>
      <c r="D23" s="19"/>
      <c r="E23" s="19"/>
      <c r="F23" s="19"/>
      <c r="G23" s="19"/>
      <c r="H23" s="19"/>
      <c r="I23" s="19"/>
      <c r="J23" s="19"/>
    </row>
    <row r="24" spans="1:10" ht="21" customHeight="1">
      <c r="A24" s="19"/>
      <c r="B24" s="19"/>
      <c r="C24" s="19"/>
      <c r="D24" s="19"/>
      <c r="E24" s="19"/>
      <c r="F24" s="19"/>
      <c r="G24" s="19"/>
      <c r="H24" s="19"/>
      <c r="I24" s="19"/>
      <c r="J24" s="19"/>
    </row>
    <row r="25" spans="1:10" ht="21" customHeight="1">
      <c r="A25" s="19"/>
      <c r="B25" s="19"/>
      <c r="C25" s="19"/>
      <c r="D25" s="19"/>
      <c r="E25" s="19"/>
      <c r="F25" s="19"/>
      <c r="G25" s="19"/>
      <c r="H25" s="19"/>
      <c r="I25" s="19"/>
      <c r="J25" s="19"/>
    </row>
    <row r="26" spans="1:10" ht="21" customHeight="1">
      <c r="A26" s="19"/>
      <c r="B26" s="19"/>
      <c r="C26" s="19"/>
      <c r="D26" s="19"/>
      <c r="E26" s="19"/>
      <c r="F26" s="19"/>
      <c r="G26" s="19"/>
      <c r="H26" s="19"/>
      <c r="I26" s="19"/>
      <c r="J26" s="19"/>
    </row>
    <row r="27" spans="1:10" ht="21" customHeight="1">
      <c r="A27" s="19"/>
      <c r="B27" s="19"/>
      <c r="C27" s="19"/>
      <c r="D27" s="19"/>
      <c r="E27" s="19"/>
      <c r="F27" s="19"/>
      <c r="G27" s="19"/>
      <c r="H27" s="19"/>
      <c r="I27" s="19"/>
      <c r="J27" s="19"/>
    </row>
    <row r="28" spans="1:10" ht="21" customHeight="1">
      <c r="A28" s="19"/>
      <c r="B28" s="19"/>
      <c r="C28" s="19"/>
      <c r="D28" s="19"/>
      <c r="E28" s="19"/>
      <c r="F28" s="19"/>
      <c r="G28" s="19"/>
      <c r="H28" s="19"/>
      <c r="I28" s="19"/>
      <c r="J28" s="19"/>
    </row>
    <row r="29" spans="1:10" ht="21" customHeight="1">
      <c r="A29" s="19"/>
      <c r="B29" s="19"/>
      <c r="C29" s="19"/>
      <c r="D29" s="19"/>
      <c r="E29" s="19"/>
      <c r="F29" s="19"/>
      <c r="G29" s="19"/>
      <c r="H29" s="19"/>
      <c r="I29" s="19"/>
      <c r="J29" s="19"/>
    </row>
    <row r="30" spans="1:10" ht="21" customHeight="1">
      <c r="A30" s="19"/>
      <c r="B30" s="19"/>
      <c r="C30" s="19"/>
      <c r="D30" s="19"/>
      <c r="E30" s="19"/>
      <c r="F30" s="19"/>
      <c r="G30" s="19"/>
      <c r="H30" s="19"/>
      <c r="I30" s="19"/>
      <c r="J30" s="19"/>
    </row>
    <row r="31" spans="1:10" ht="21" customHeight="1">
      <c r="A31" s="19"/>
      <c r="B31" s="19"/>
      <c r="C31" s="19"/>
      <c r="D31" s="19"/>
      <c r="E31" s="19"/>
      <c r="F31" s="19"/>
      <c r="G31" s="19"/>
      <c r="H31" s="19"/>
      <c r="I31" s="19"/>
      <c r="J31" s="19"/>
    </row>
    <row r="32" spans="1:10" ht="21" customHeight="1">
      <c r="A32" s="19"/>
      <c r="B32" s="19"/>
      <c r="C32" s="19"/>
      <c r="D32" s="19"/>
      <c r="E32" s="19"/>
      <c r="F32" s="19"/>
      <c r="G32" s="19"/>
      <c r="H32" s="19"/>
      <c r="I32" s="19"/>
      <c r="J32" s="19"/>
    </row>
    <row r="33" spans="1:10" ht="21" customHeight="1">
      <c r="A33" s="19"/>
      <c r="B33" s="19"/>
      <c r="C33" s="19"/>
      <c r="D33" s="19"/>
      <c r="E33" s="19"/>
      <c r="F33" s="19"/>
      <c r="G33" s="19"/>
      <c r="H33" s="19"/>
      <c r="I33" s="19"/>
      <c r="J33" s="19"/>
    </row>
    <row r="34" spans="1:10" ht="21" customHeight="1">
      <c r="A34" s="19"/>
      <c r="B34" s="19"/>
      <c r="C34" s="19"/>
      <c r="D34" s="19"/>
      <c r="E34" s="19"/>
      <c r="F34" s="19"/>
      <c r="G34" s="19"/>
      <c r="H34" s="19"/>
      <c r="I34" s="19"/>
      <c r="J34" s="19"/>
    </row>
    <row r="35" spans="1:10" ht="21" customHeight="1">
      <c r="A35" s="19"/>
      <c r="B35" s="19"/>
      <c r="C35" s="19"/>
      <c r="D35" s="19"/>
      <c r="E35" s="19"/>
      <c r="F35" s="19"/>
      <c r="G35" s="19"/>
      <c r="H35" s="19"/>
      <c r="I35" s="19"/>
      <c r="J35" s="19"/>
    </row>
    <row r="36" spans="1:10" ht="21" customHeight="1">
      <c r="A36" s="19"/>
      <c r="B36" s="19"/>
      <c r="C36" s="19"/>
      <c r="D36" s="19"/>
      <c r="E36" s="19"/>
      <c r="F36" s="19"/>
      <c r="G36" s="19"/>
      <c r="H36" s="19"/>
      <c r="I36" s="19"/>
      <c r="J36" s="19"/>
    </row>
    <row r="37" spans="1:10" ht="21" customHeight="1">
      <c r="A37" s="19"/>
      <c r="B37" s="19"/>
      <c r="C37" s="19"/>
      <c r="D37" s="19"/>
      <c r="E37" s="19"/>
      <c r="F37" s="19"/>
      <c r="G37" s="19"/>
      <c r="H37" s="19"/>
      <c r="I37" s="19"/>
      <c r="J37" s="19"/>
    </row>
    <row r="38" spans="1:10" ht="21" customHeight="1">
      <c r="A38" s="19"/>
      <c r="B38" s="19"/>
      <c r="C38" s="19"/>
      <c r="D38" s="19"/>
      <c r="E38" s="19"/>
      <c r="F38" s="19"/>
      <c r="G38" s="19"/>
      <c r="H38" s="19"/>
      <c r="I38" s="19"/>
      <c r="J38" s="19"/>
    </row>
    <row r="39" spans="1:10" ht="21" customHeight="1">
      <c r="A39" s="19"/>
      <c r="B39" s="19"/>
      <c r="C39" s="19"/>
      <c r="D39" s="19"/>
      <c r="E39" s="19"/>
      <c r="F39" s="19"/>
      <c r="G39" s="19"/>
      <c r="H39" s="19"/>
      <c r="I39" s="19"/>
      <c r="J39" s="19"/>
    </row>
    <row r="40" spans="1:10" ht="21" customHeight="1">
      <c r="A40" s="19"/>
      <c r="B40" s="19"/>
      <c r="C40" s="19"/>
      <c r="D40" s="19"/>
      <c r="E40" s="19"/>
      <c r="F40" s="19"/>
      <c r="G40" s="19"/>
      <c r="H40" s="19"/>
      <c r="I40" s="19"/>
      <c r="J40" s="19"/>
    </row>
    <row r="41" spans="1:10" ht="21" customHeight="1">
      <c r="A41" s="19"/>
      <c r="B41" s="19"/>
      <c r="C41" s="19"/>
      <c r="D41" s="19"/>
      <c r="E41" s="19"/>
      <c r="F41" s="19"/>
      <c r="G41" s="19"/>
      <c r="H41" s="19"/>
      <c r="I41" s="19"/>
      <c r="J41" s="19"/>
    </row>
    <row r="42" spans="1:10" ht="21" customHeight="1">
      <c r="A42" s="19"/>
      <c r="B42" s="19"/>
      <c r="C42" s="19"/>
      <c r="D42" s="19"/>
      <c r="E42" s="19"/>
      <c r="F42" s="19"/>
      <c r="G42" s="19"/>
      <c r="H42" s="19"/>
      <c r="I42" s="19"/>
      <c r="J42" s="19"/>
    </row>
    <row r="43" spans="1:10" ht="21" customHeight="1">
      <c r="A43" s="19"/>
      <c r="B43" s="19"/>
      <c r="C43" s="19"/>
      <c r="D43" s="19"/>
      <c r="E43" s="19"/>
      <c r="F43" s="19"/>
      <c r="G43" s="19"/>
      <c r="H43" s="19"/>
      <c r="I43" s="19"/>
      <c r="J43" s="19"/>
    </row>
    <row r="44" spans="1:10" ht="21" customHeight="1">
      <c r="A44" s="19"/>
      <c r="B44" s="19"/>
      <c r="C44" s="19"/>
      <c r="D44" s="19"/>
      <c r="E44" s="19"/>
      <c r="F44" s="19"/>
      <c r="G44" s="19"/>
      <c r="H44" s="19"/>
      <c r="I44" s="19"/>
      <c r="J44" s="19"/>
    </row>
    <row r="45" spans="1:10" ht="21" customHeight="1">
      <c r="A45" s="19"/>
      <c r="B45" s="19"/>
      <c r="C45" s="19"/>
      <c r="D45" s="19"/>
      <c r="E45" s="19"/>
      <c r="F45" s="19"/>
      <c r="G45" s="19"/>
      <c r="H45" s="19"/>
      <c r="I45" s="19"/>
      <c r="J45" s="19"/>
    </row>
    <row r="46" spans="1:10" ht="21" customHeight="1">
      <c r="A46" s="19"/>
      <c r="B46" s="19"/>
      <c r="C46" s="19"/>
      <c r="D46" s="19"/>
      <c r="E46" s="19"/>
      <c r="F46" s="19"/>
      <c r="G46" s="19"/>
      <c r="H46" s="19"/>
      <c r="I46" s="19"/>
      <c r="J46" s="19"/>
    </row>
    <row r="47" spans="1:10" ht="21" customHeight="1">
      <c r="A47" s="19"/>
      <c r="B47" s="19"/>
      <c r="C47" s="19"/>
      <c r="D47" s="19"/>
      <c r="E47" s="19"/>
      <c r="F47" s="19"/>
      <c r="G47" s="19"/>
      <c r="H47" s="19"/>
      <c r="I47" s="19"/>
      <c r="J47" s="19"/>
    </row>
    <row r="48" spans="1:10" ht="21" customHeight="1">
      <c r="A48" s="19"/>
      <c r="B48" s="19"/>
      <c r="C48" s="19"/>
      <c r="D48" s="19"/>
      <c r="E48" s="19"/>
      <c r="F48" s="19"/>
      <c r="G48" s="19"/>
      <c r="H48" s="19"/>
      <c r="I48" s="19"/>
      <c r="J48" s="19"/>
    </row>
    <row r="49" spans="1:10" ht="21" customHeight="1">
      <c r="A49" s="19"/>
      <c r="B49" s="19"/>
      <c r="C49" s="19"/>
      <c r="D49" s="19"/>
      <c r="E49" s="19"/>
      <c r="F49" s="19"/>
      <c r="G49" s="19"/>
      <c r="H49" s="19"/>
      <c r="I49" s="19"/>
      <c r="J49" s="19"/>
    </row>
    <row r="50" spans="1:10" ht="21" customHeight="1">
      <c r="A50" s="19"/>
      <c r="B50" s="19"/>
      <c r="C50" s="19"/>
      <c r="D50" s="19"/>
      <c r="E50" s="19"/>
      <c r="F50" s="19"/>
      <c r="G50" s="19"/>
      <c r="H50" s="19"/>
      <c r="I50" s="19"/>
      <c r="J50" s="19"/>
    </row>
    <row r="51" spans="1:10" ht="21" customHeight="1">
      <c r="A51" s="19"/>
      <c r="B51" s="19"/>
      <c r="C51" s="19"/>
      <c r="D51" s="19"/>
      <c r="E51" s="19"/>
      <c r="F51" s="19"/>
      <c r="G51" s="19"/>
      <c r="H51" s="19"/>
      <c r="I51" s="19"/>
      <c r="J51" s="19"/>
    </row>
  </sheetData>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START HERE</vt:lpstr>
      <vt:lpstr>Job Applications</vt:lpstr>
      <vt:lpstr>Search Analytics</vt:lpstr>
      <vt:lpstr>Weekly Report</vt:lpstr>
      <vt:lpstr>Lists</vt:lpstr>
      <vt:lpstr>ApplicationSourceOptions</vt:lpstr>
      <vt:lpstr>FeedbackTypeOptions</vt:lpstr>
      <vt:lpstr>InterviewStageOptions</vt:lpstr>
      <vt:lpstr>JobStatusOptions</vt:lpstr>
      <vt:lpstr>PositionCategoryOptions</vt:lpstr>
      <vt:lpstr>RecruiterContactOptions</vt:lpstr>
      <vt:lpstr>ResumeActivityOptions</vt:lpstr>
      <vt:lpstr>ResumeVersionOptions</vt:lpstr>
      <vt:lpstr>SalaryRangeOptions</vt:lpstr>
      <vt:lpstr>WorkArrangementOptions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Lora</dc:creator>
  <cp:lastModifiedBy>L. Anderson</cp:lastModifiedBy>
  <dcterms:created xsi:type="dcterms:W3CDTF">2026-10-09T23:24:03Z</dcterms:created>
  <dcterms:modified xsi:type="dcterms:W3CDTF">2026-10-09T23:26:26Z</dcterms:modified>
</cp:coreProperties>
</file>